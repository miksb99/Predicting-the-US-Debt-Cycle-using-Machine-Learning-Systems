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elborggren/Desktop/DebtCycleGauge/"/>
    </mc:Choice>
  </mc:AlternateContent>
  <xr:revisionPtr revIDLastSave="0" documentId="8_{33E52564-8515-4146-B48D-1A6B22178330}" xr6:coauthVersionLast="47" xr6:coauthVersionMax="47" xr10:uidLastSave="{00000000-0000-0000-0000-000000000000}"/>
  <bookViews>
    <workbookView xWindow="4600" yWindow="1020" windowWidth="24460" windowHeight="18160" xr2:uid="{38580D46-EAFF-D143-8133-BBB64253D517}"/>
  </bookViews>
  <sheets>
    <sheet name="DataToPredict" sheetId="3" r:id="rId1"/>
    <sheet name="DataToTrainModel" sheetId="1" r:id="rId2"/>
    <sheet name="Notes&amp;Glossary" sheetId="2" r:id="rId3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 a="1"/>
  <c r="P2" i="3"/>
  <c r="Q14" i="3" a="1"/>
  <c r="Q14" i="3"/>
  <c r="P14" i="3" a="1"/>
  <c r="P14" i="3"/>
  <c r="O3" i="3" a="1"/>
  <c r="O3" i="3"/>
  <c r="N2" i="3"/>
  <c r="N14" i="3" a="1"/>
  <c r="N14" i="3"/>
  <c r="N3" i="3" a="1"/>
  <c r="N3" i="3"/>
  <c r="A14" i="2" a="1"/>
  <c r="A1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<sst xmlns="http://schemas.openxmlformats.org/spreadsheetml/2006/main" count="266" uniqueCount="58">
  <si>
    <t>Year</t>
  </si>
  <si>
    <t>Country</t>
  </si>
  <si>
    <t>BDG</t>
  </si>
  <si>
    <t>CoreInflation</t>
  </si>
  <si>
    <t>SRi</t>
  </si>
  <si>
    <t>R.GDPg</t>
  </si>
  <si>
    <t>Curve</t>
  </si>
  <si>
    <t>R.FXxTWI</t>
  </si>
  <si>
    <t>United Kingdom</t>
  </si>
  <si>
    <t>United States</t>
  </si>
  <si>
    <t>Japan</t>
  </si>
  <si>
    <t>France</t>
  </si>
  <si>
    <t>Norway</t>
  </si>
  <si>
    <t>Finland</t>
  </si>
  <si>
    <t>Sweden</t>
  </si>
  <si>
    <t>Austria</t>
  </si>
  <si>
    <t>Germany</t>
  </si>
  <si>
    <t>Greece</t>
  </si>
  <si>
    <t>Data extracted from Ray Dalio's book, Navigating Big Debt Crises</t>
  </si>
  <si>
    <t>Notes</t>
  </si>
  <si>
    <t>15 Scenarios described as Deflationary Debt Cycles, where Nations with the majority of their debt was denominated in their local currency saw real GDP contractions of over 3%</t>
  </si>
  <si>
    <t>∆Debt/GDP</t>
  </si>
  <si>
    <t>M0/GDP</t>
  </si>
  <si>
    <t>Equity</t>
  </si>
  <si>
    <t>Glossary</t>
  </si>
  <si>
    <t>Placed no weight on country or yearly difference in an effort to keep the model unbiased and simply a reflection of the variables interactions</t>
  </si>
  <si>
    <t>Bubble/Debt Gauge</t>
  </si>
  <si>
    <t>Feature</t>
  </si>
  <si>
    <t>Name</t>
  </si>
  <si>
    <t>Description</t>
  </si>
  <si>
    <t>Core Inflation</t>
  </si>
  <si>
    <t>Percent Change in Debt/GDP</t>
  </si>
  <si>
    <t>Short-Run Interest Rate</t>
  </si>
  <si>
    <t>M0 Supply relative to GDP</t>
  </si>
  <si>
    <t>Real GDP Growth</t>
  </si>
  <si>
    <t>Yield Curve</t>
  </si>
  <si>
    <t>Equity Index</t>
  </si>
  <si>
    <t>Real FX versus TWI</t>
  </si>
  <si>
    <t>Equity Growth</t>
  </si>
  <si>
    <t>R^2</t>
  </si>
  <si>
    <t xml:space="preserve"> BDG</t>
  </si>
  <si>
    <t>US BDG Data (Last 20 years)</t>
  </si>
  <si>
    <t>Linear Interp</t>
  </si>
  <si>
    <t>Spline Interp</t>
  </si>
  <si>
    <t>Ray Dalios implied bubble/depression gauge described in his book, "Principles for Navigating Big Debt Crises"</t>
  </si>
  <si>
    <t>Inflation that excludes the prices of especially volatile goods, such as commodities</t>
  </si>
  <si>
    <t>Percentage point Yearly change in the Debt/GDP level</t>
  </si>
  <si>
    <t>The Overnight lending rate or baseline interest rate used at the respective country/era</t>
  </si>
  <si>
    <t>M0 Supply meaning liquid cash relative to GDP</t>
  </si>
  <si>
    <t>Converted Equity values to YoY growth instead of indexed as shown in data (Please go to Predict2.csv to see file)</t>
  </si>
  <si>
    <t>Year-over-year GDP growth less inflation</t>
  </si>
  <si>
    <t>Ray Dalios measure of the yield curve given the respective country and year</t>
  </si>
  <si>
    <t>Nations major equity indice (python script runs YoY change but data presented as indexed)</t>
  </si>
  <si>
    <t xml:space="preserve">Real Broad Effective Exchange Rate / 100 -1 </t>
  </si>
  <si>
    <t>External Datasets</t>
  </si>
  <si>
    <t>https://fred.stlouisfed.org/graph/?g=trwj</t>
  </si>
  <si>
    <t>US R.FXxTWI</t>
  </si>
  <si>
    <t>Trading economics for the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</si>
</sst>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"/>
    <numFmt numFmtId="171" formatCode="0.0%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2" fontId="0" fillId="2" borderId="0" xfId="0" applyNumberFormat="1" applyFill="1"/>
    <xf numFmtId="170" fontId="0" fillId="2" borderId="2" xfId="0" applyNumberFormat="1" applyFill="1" applyBorder="1"/>
    <xf numFmtId="170" fontId="0" fillId="2" borderId="3" xfId="0" applyNumberFormat="1" applyFill="1" applyBorder="1"/>
    <xf numFmtId="170" fontId="0" fillId="2" borderId="5" xfId="0" applyNumberFormat="1" applyFill="1" applyBorder="1"/>
    <xf numFmtId="170" fontId="0" fillId="2" borderId="6" xfId="0" applyNumberFormat="1" applyFill="1" applyBorder="1"/>
    <xf numFmtId="170" fontId="0" fillId="2" borderId="0" xfId="0" applyNumberFormat="1" applyFill="1"/>
    <xf numFmtId="170" fontId="0" fillId="2" borderId="8" xfId="0" applyNumberFormat="1" applyFill="1" applyBorder="1"/>
    <xf numFmtId="170" fontId="0" fillId="2" borderId="10" xfId="0" applyNumberFormat="1" applyFill="1" applyBorder="1"/>
    <xf numFmtId="170" fontId="0" fillId="2" borderId="11" xfId="0" applyNumberFormat="1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70" fontId="0" fillId="2" borderId="12" xfId="0" applyNumberFormat="1" applyFill="1" applyBorder="1"/>
    <xf numFmtId="170" fontId="0" fillId="2" borderId="13" xfId="0" applyNumberFormat="1" applyFill="1" applyBorder="1"/>
    <xf numFmtId="170" fontId="0" fillId="2" borderId="14" xfId="0" applyNumberFormat="1" applyFill="1" applyBorder="1"/>
    <xf numFmtId="170" fontId="0" fillId="2" borderId="15" xfId="0" applyNumberFormat="1" applyFill="1" applyBorder="1"/>
    <xf numFmtId="0" fontId="0" fillId="2" borderId="0" xfId="0" applyFill="1" applyBorder="1"/>
    <xf numFmtId="170" fontId="0" fillId="2" borderId="0" xfId="0" applyNumberFormat="1" applyFill="1" applyBorder="1"/>
    <xf numFmtId="0" fontId="2" fillId="2" borderId="0" xfId="0" applyFont="1" applyFill="1" applyBorder="1" applyAlignment="1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 wrapText="1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170" fontId="0" fillId="2" borderId="0" xfId="1" applyNumberFormat="1" applyFont="1" applyFill="1" applyBorder="1"/>
    <xf numFmtId="170" fontId="0" fillId="2" borderId="10" xfId="1" applyNumberFormat="1" applyFont="1" applyFill="1" applyBorder="1"/>
    <xf numFmtId="0" fontId="3" fillId="2" borderId="12" xfId="0" applyFont="1" applyFill="1" applyBorder="1"/>
    <xf numFmtId="170" fontId="3" fillId="2" borderId="14" xfId="0" applyNumberFormat="1" applyFont="1" applyFill="1" applyBorder="1"/>
    <xf numFmtId="170" fontId="3" fillId="2" borderId="15" xfId="0" applyNumberFormat="1" applyFont="1" applyFill="1" applyBorder="1"/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71" fontId="4" fillId="2" borderId="12" xfId="1" applyNumberFormat="1" applyFont="1" applyFill="1" applyBorder="1"/>
    <xf numFmtId="171" fontId="4" fillId="2" borderId="3" xfId="1" applyNumberFormat="1" applyFont="1" applyFill="1" applyBorder="1"/>
    <xf numFmtId="9" fontId="0" fillId="2" borderId="0" xfId="1" applyNumberFormat="1" applyFont="1" applyFill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DataToPredict!$C$1</c:f>
              <c:strCache>
                <c:ptCount val="1"/>
                <c:pt idx="0">
                  <c:v>Linear Interp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DataToPredict!$A$2:$A$10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DataToPredict!$C$2:$C$10</c:f>
              <c:numCache>
                <c:formatCode>0.0</c:formatCode>
                <c:ptCount val="9"/>
                <c:pt idx="0">
                  <c:v>-9.937829529742831E-2</c:v>
                </c:pt>
                <c:pt idx="1">
                  <c:v>-1.8389587381888395E-2</c:v>
                </c:pt>
                <c:pt idx="2">
                  <c:v>-2.3966171839091242E-2</c:v>
                </c:pt>
                <c:pt idx="3">
                  <c:v>-0.40200956155082712</c:v>
                </c:pt>
                <c:pt idx="4">
                  <c:v>0.66034222273415011</c:v>
                </c:pt>
                <c:pt idx="5">
                  <c:v>0.26031091544264628</c:v>
                </c:pt>
                <c:pt idx="6">
                  <c:v>0.3019247113107712</c:v>
                </c:pt>
                <c:pt idx="7">
                  <c:v>0.32430156604972382</c:v>
                </c:pt>
                <c:pt idx="8">
                  <c:v>4.7493795030434792E-2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9-7142-9ED8-85E1A246C1A5}"/>
            </c:ext>
          </c:extLst>
        </c:ser>
        <c:ser>
          <c:idx val="1"/>
          <c:order val="1"/>
          <c:tx>
            <c:strRef>
              <c:f>DataToPredict!$D$1</c:f>
              <c:strCache>
                <c:ptCount val="1"/>
                <c:pt idx="0">
                  <c:v>Spline Interp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cat>
            <c:numRef>
              <c:f>DataToPredict!$A$2:$A$10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DataToPredict!$D$2:$D$10</c:f>
              <c:numCache>
                <c:formatCode>0.0</c:formatCode>
                <c:ptCount val="9"/>
                <c:pt idx="0">
                  <c:v>-8.8509599422470803E-2</c:v>
                </c:pt>
                <c:pt idx="1">
                  <c:v>0.28220141029267298</c:v>
                </c:pt>
                <c:pt idx="2">
                  <c:v>0.13156651457591101</c:v>
                </c:pt>
                <c:pt idx="3">
                  <c:v>-0.77879750932692904</c:v>
                </c:pt>
                <c:pt idx="4">
                  <c:v>1.6965529710529399</c:v>
                </c:pt>
                <c:pt idx="5">
                  <c:v>1.09400630291467</c:v>
                </c:pt>
                <c:pt idx="6">
                  <c:v>1.2603318872474001</c:v>
                </c:pt>
                <c:pt idx="7">
                  <c:v>1.2273150318477499</c:v>
                </c:pt>
                <c:pt idx="8">
                  <c:v>0.87428537438507703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09-7142-9ED8-85E1A246C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812832"/>
        <c:axId val="1031682704"/>
      </c:lineChart>
      <c:catAx>
        <c:axId val="66181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82704"/>
        <c:crosses val="autoZero"/>
        <c:auto val="1"/>
        <c:lblAlgn val="ctr"/>
        <c:lblOffset val="100"/>
        <c:noMultiLvlLbl val="0"/>
      </c:catAx>
      <c:valAx>
        <c:axId val="103168270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81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DataToPredict!$O$2</c:f>
              <c:strCache>
                <c:ptCount val="1"/>
                <c:pt idx="0">
                  <c:v> BDG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DataToPredict!$N$3:$N$22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DataToPredict!$O$3:$O$22</c:f>
              <c:numCache>
                <c:formatCode>0.0</c:formatCode>
                <c:ptCount val="20"/>
                <c:pt idx="0">
                  <c:v>0.83543606615163302</c:v>
                </c:pt>
                <c:pt idx="1">
                  <c:v>1.10271568310665</c:v>
                </c:pt>
                <c:pt idx="2">
                  <c:v>0.73365302705401902</c:v>
                </c:pt>
                <c:pt idx="3">
                  <c:v>-0.71074082777663605</c:v>
                </c:pt>
                <c:pt idx="4">
                  <c:v>-2.4974958141174399</c:v>
                </c:pt>
                <c:pt idx="5">
                  <c:v>-1.8397394471697499</c:v>
                </c:pt>
                <c:pt idx="6">
                  <c:v>-1.47424580677378</c:v>
                </c:pt>
                <c:pt idx="7">
                  <c:v>-1.2064374467585099</c:v>
                </c:pt>
                <c:pt idx="8">
                  <c:v>-0.54782187233792501</c:v>
                </c:pt>
                <c:pt idx="9">
                  <c:v>3.7100138060688702E-2</c:v>
                </c:pt>
                <c:pt idx="10">
                  <c:v>-0.13560056399259601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36-E54E-931C-D10F0BFEAEC8}"/>
            </c:ext>
          </c:extLst>
        </c:ser>
        <c:ser>
          <c:idx val="2"/>
          <c:order val="1"/>
          <c:tx>
            <c:strRef>
              <c:f>DataToPredict!$P$2</c:f>
              <c:strCache>
                <c:ptCount val="1"/>
                <c:pt idx="0">
                  <c:v>Linear Interp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DataToPredict!$N$3:$N$22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DataToPredict!$P$3:$P$22</c:f>
              <c:numCache>
                <c:formatCode>0.0</c:formatCode>
                <c:ptCount val="20"/>
                <c:pt idx="11">
                  <c:v>-9.937829529742831E-2</c:v>
                </c:pt>
                <c:pt idx="12">
                  <c:v>-1.8389587381888395E-2</c:v>
                </c:pt>
                <c:pt idx="13">
                  <c:v>-2.3966171839091242E-2</c:v>
                </c:pt>
                <c:pt idx="14">
                  <c:v>-0.40200956155082712</c:v>
                </c:pt>
                <c:pt idx="15">
                  <c:v>0.66034222273415011</c:v>
                </c:pt>
                <c:pt idx="16">
                  <c:v>0.26031091544264628</c:v>
                </c:pt>
                <c:pt idx="17">
                  <c:v>0.3019247113107712</c:v>
                </c:pt>
                <c:pt idx="18">
                  <c:v>0.32430156604972382</c:v>
                </c:pt>
                <c:pt idx="19">
                  <c:v>4.7493795030434792E-2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36-E54E-931C-D10F0BFEAEC8}"/>
            </c:ext>
          </c:extLst>
        </c:ser>
        <c:ser>
          <c:idx val="3"/>
          <c:order val="2"/>
          <c:tx>
            <c:strRef>
              <c:f>DataToPredict!$Q$2</c:f>
              <c:strCache>
                <c:ptCount val="1"/>
                <c:pt idx="0">
                  <c:v>Spline Interp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DataToPredict!$N$3:$N$22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DataToPredict!$Q$3:$Q$22</c:f>
              <c:numCache>
                <c:formatCode>0.0</c:formatCode>
                <c:ptCount val="20"/>
                <c:pt idx="11">
                  <c:v>-8.8509599422470803E-2</c:v>
                </c:pt>
                <c:pt idx="12">
                  <c:v>0.28220141029267298</c:v>
                </c:pt>
                <c:pt idx="13">
                  <c:v>0.13156651457591101</c:v>
                </c:pt>
                <c:pt idx="14">
                  <c:v>-0.77879750932692904</c:v>
                </c:pt>
                <c:pt idx="15">
                  <c:v>1.6965529710529399</c:v>
                </c:pt>
                <c:pt idx="16">
                  <c:v>1.09400630291467</c:v>
                </c:pt>
                <c:pt idx="17">
                  <c:v>1.2603318872474001</c:v>
                </c:pt>
                <c:pt idx="18">
                  <c:v>1.2273150318477499</c:v>
                </c:pt>
                <c:pt idx="19">
                  <c:v>0.87428537438507703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36-E54E-931C-D10F0BFEA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756448"/>
        <c:axId val="1031767056"/>
      </c:lineChart>
      <c:catAx>
        <c:axId val="103175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67056"/>
        <c:crosses val="autoZero"/>
        <c:auto val="1"/>
        <c:lblAlgn val="ctr"/>
        <c:lblOffset val="100"/>
        <c:noMultiLvlLbl val="0"/>
      </c:catAx>
      <c:valAx>
        <c:axId val="1031767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Bubble/Depression Gauge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5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749300</xdr:colOff>
      <xdr:row>14</xdr:row>
      <xdr:rowOff>114300</xdr:rowOff>
    </xdr:from>
    <xdr:to>
      <xdr:col>6</xdr:col>
      <xdr:colOff>368300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3312CB-B5D0-A3A3-416C-7228780DE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444500</xdr:colOff>
      <xdr:row>14</xdr:row>
      <xdr:rowOff>114300</xdr:rowOff>
    </xdr:from>
    <xdr:to>
      <xdr:col>12</xdr:col>
      <xdr:colOff>25400</xdr:colOff>
      <xdr:row>28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F739BF-7D9B-E507-72BD-62920FAD7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0291-5A24-B842-B969-DD19DC947692}">
  <dimension ref="A1:T38"/>
  <sheetViews>
    <sheetView tabSelected="1" workbookViewId="0">
      <selection activeCell="N33" sqref="N33"/>
    </sheetView>
  </sheetViews>
  <sheetFormatPr baseColWidth="10" defaultRowHeight="15" x14ac:dyDescent="0.2"/>
  <cols>
    <col min="1" max="2" width="10.83203125" style="3"/>
    <col min="3" max="4" width="10.83203125" style="41"/>
    <col min="5" max="9" width="10.83203125" style="3"/>
    <col min="10" max="18" width="11" style="3" bestFit="1" customWidth="1"/>
    <col min="19" max="19" width="11.6640625" style="3" bestFit="1" customWidth="1"/>
    <col min="20" max="20" width="11.1640625" style="3" bestFit="1" customWidth="1"/>
    <col min="21" max="16384" width="10.83203125" style="3"/>
  </cols>
  <sheetData>
    <row r="1" spans="1:20" ht="16" thickBot="1" x14ac:dyDescent="0.25">
      <c r="A1" s="33" t="s">
        <v>0</v>
      </c>
      <c r="B1" s="34" t="s">
        <v>1</v>
      </c>
      <c r="C1" s="38" t="s">
        <v>42</v>
      </c>
      <c r="D1" s="38" t="s">
        <v>43</v>
      </c>
      <c r="E1" s="34" t="s">
        <v>3</v>
      </c>
      <c r="F1" s="34" t="s">
        <v>21</v>
      </c>
      <c r="G1" s="34" t="s">
        <v>4</v>
      </c>
      <c r="H1" s="34" t="s">
        <v>22</v>
      </c>
      <c r="I1" s="34" t="s">
        <v>5</v>
      </c>
      <c r="J1" s="34" t="s">
        <v>6</v>
      </c>
      <c r="K1" s="34" t="s">
        <v>38</v>
      </c>
      <c r="L1" s="35" t="s">
        <v>7</v>
      </c>
      <c r="N1" s="47" t="s">
        <v>41</v>
      </c>
      <c r="O1" s="19"/>
      <c r="P1" s="19"/>
      <c r="Q1" s="20"/>
    </row>
    <row r="2" spans="1:20" ht="16" thickBot="1" x14ac:dyDescent="0.25">
      <c r="A2" s="6">
        <v>2017</v>
      </c>
      <c r="B2" s="25" t="s">
        <v>9</v>
      </c>
      <c r="C2" s="39">
        <v>-9.937829529742831E-2</v>
      </c>
      <c r="D2" s="39">
        <v>-8.8509599422470803E-2</v>
      </c>
      <c r="E2" s="26">
        <v>1.7999999999999998</v>
      </c>
      <c r="F2" s="26">
        <v>1.3</v>
      </c>
      <c r="G2" s="26">
        <v>1</v>
      </c>
      <c r="H2" s="26">
        <v>18.333068020959711</v>
      </c>
      <c r="I2" s="26">
        <v>2.5</v>
      </c>
      <c r="J2" s="26">
        <v>1.4000000000000001</v>
      </c>
      <c r="K2" s="36">
        <v>0.1</v>
      </c>
      <c r="L2" s="16">
        <v>-5.5999999999999943</v>
      </c>
      <c r="N2" s="7" t="str">
        <f>A1</f>
        <v>Year</v>
      </c>
      <c r="O2" s="8" t="s">
        <v>40</v>
      </c>
      <c r="P2" s="8" t="str" cm="1">
        <f t="array" ref="P2:Q2">C1:D1</f>
        <v>Linear Interp</v>
      </c>
      <c r="Q2" s="9" t="str">
        <v>Spline Interp</v>
      </c>
    </row>
    <row r="3" spans="1:20" x14ac:dyDescent="0.2">
      <c r="A3" s="6">
        <v>2018</v>
      </c>
      <c r="B3" s="25" t="s">
        <v>9</v>
      </c>
      <c r="C3" s="39">
        <v>-1.8389587381888395E-2</v>
      </c>
      <c r="D3" s="39">
        <v>0.28220141029267298</v>
      </c>
      <c r="E3" s="26">
        <v>2.1999999999999997</v>
      </c>
      <c r="F3" s="26">
        <v>2</v>
      </c>
      <c r="G3" s="26">
        <v>1.83</v>
      </c>
      <c r="H3" s="26">
        <v>18.516191210560386</v>
      </c>
      <c r="I3" s="26">
        <v>3</v>
      </c>
      <c r="J3" s="26">
        <v>0.85000000000000009</v>
      </c>
      <c r="K3" s="36">
        <v>-6.1909758656872982E-2</v>
      </c>
      <c r="L3" s="16">
        <v>-1.4000000000000012</v>
      </c>
      <c r="N3" s="6" cm="1">
        <f t="array" ref="N3:N13">DataToTrainModel!A191:A201</f>
        <v>2005</v>
      </c>
      <c r="O3" s="26" cm="1">
        <f t="array" ref="O3:O13">DataToTrainModel!C191:C201</f>
        <v>0.83543606615163302</v>
      </c>
      <c r="P3" s="26"/>
      <c r="Q3" s="16"/>
    </row>
    <row r="4" spans="1:20" x14ac:dyDescent="0.2">
      <c r="A4" s="6">
        <v>2019</v>
      </c>
      <c r="B4" s="25" t="s">
        <v>9</v>
      </c>
      <c r="C4" s="39">
        <v>-2.3966171839091242E-2</v>
      </c>
      <c r="D4" s="39">
        <v>0.13156651457591101</v>
      </c>
      <c r="E4" s="26">
        <v>2.2999999999999998</v>
      </c>
      <c r="F4" s="26">
        <v>1</v>
      </c>
      <c r="G4" s="26">
        <v>2.16</v>
      </c>
      <c r="H4" s="26">
        <v>15.538081693847284</v>
      </c>
      <c r="I4" s="26">
        <v>2.6</v>
      </c>
      <c r="J4" s="26">
        <v>-0.25000000000000022</v>
      </c>
      <c r="K4" s="36">
        <v>0.29194630872483218</v>
      </c>
      <c r="L4" s="16">
        <v>-1.9000000000000017</v>
      </c>
      <c r="N4" s="6">
        <v>2006</v>
      </c>
      <c r="O4" s="26">
        <v>1.10271568310665</v>
      </c>
      <c r="P4" s="26"/>
      <c r="Q4" s="16"/>
    </row>
    <row r="5" spans="1:20" x14ac:dyDescent="0.2">
      <c r="A5" s="6">
        <v>2020</v>
      </c>
      <c r="B5" s="25" t="s">
        <v>9</v>
      </c>
      <c r="C5" s="39">
        <v>-0.40200956155082712</v>
      </c>
      <c r="D5" s="39">
        <v>-0.77879750932692904</v>
      </c>
      <c r="E5" s="26">
        <v>1.6</v>
      </c>
      <c r="F5" s="26">
        <v>20.9</v>
      </c>
      <c r="G5" s="26">
        <v>0.36</v>
      </c>
      <c r="H5" s="26">
        <v>16.121491213117629</v>
      </c>
      <c r="I5" s="26">
        <v>-2.1</v>
      </c>
      <c r="J5" s="26">
        <v>0.55000000000000004</v>
      </c>
      <c r="K5" s="36">
        <v>0.19480519480519476</v>
      </c>
      <c r="L5" s="16">
        <v>-5.0000000000000044</v>
      </c>
      <c r="N5" s="6">
        <v>2007</v>
      </c>
      <c r="O5" s="26">
        <v>0.73365302705401902</v>
      </c>
      <c r="P5" s="26"/>
      <c r="Q5" s="16"/>
    </row>
    <row r="6" spans="1:20" x14ac:dyDescent="0.2">
      <c r="A6" s="6">
        <v>2021</v>
      </c>
      <c r="B6" s="25" t="s">
        <v>9</v>
      </c>
      <c r="C6" s="39">
        <v>0.66034222273415011</v>
      </c>
      <c r="D6" s="39">
        <v>1.6965529710529399</v>
      </c>
      <c r="E6" s="26">
        <v>5.5</v>
      </c>
      <c r="F6" s="26">
        <v>-4</v>
      </c>
      <c r="G6" s="26">
        <v>0.08</v>
      </c>
      <c r="H6" s="26">
        <v>22.161067210783926</v>
      </c>
      <c r="I6" s="26">
        <v>6.2</v>
      </c>
      <c r="J6" s="26">
        <v>1.43</v>
      </c>
      <c r="K6" s="36">
        <v>0.25579710144927525</v>
      </c>
      <c r="L6" s="16">
        <v>1.0000000000000009</v>
      </c>
      <c r="N6" s="6">
        <v>2008</v>
      </c>
      <c r="O6" s="26">
        <v>-0.71074082777663605</v>
      </c>
      <c r="P6" s="26"/>
      <c r="Q6" s="16"/>
    </row>
    <row r="7" spans="1:20" x14ac:dyDescent="0.2">
      <c r="A7" s="6">
        <v>2022</v>
      </c>
      <c r="B7" s="25" t="s">
        <v>9</v>
      </c>
      <c r="C7" s="39">
        <v>0.26031091544264628</v>
      </c>
      <c r="D7" s="39">
        <v>1.09400630291467</v>
      </c>
      <c r="E7" s="26">
        <v>5.7</v>
      </c>
      <c r="F7" s="26">
        <v>-3</v>
      </c>
      <c r="G7" s="26">
        <v>1.68</v>
      </c>
      <c r="H7" s="26">
        <v>23.470317022118596</v>
      </c>
      <c r="I7" s="26">
        <v>2.5</v>
      </c>
      <c r="J7" s="26">
        <v>2.19</v>
      </c>
      <c r="K7" s="36">
        <v>-0.21004039238315064</v>
      </c>
      <c r="L7" s="16">
        <v>7.4999999999999956</v>
      </c>
      <c r="N7" s="6">
        <v>2009</v>
      </c>
      <c r="O7" s="26">
        <v>-2.4974958141174399</v>
      </c>
      <c r="P7" s="26"/>
      <c r="Q7" s="16"/>
    </row>
    <row r="8" spans="1:20" x14ac:dyDescent="0.2">
      <c r="A8" s="6">
        <v>2023</v>
      </c>
      <c r="B8" s="25" t="s">
        <v>9</v>
      </c>
      <c r="C8" s="39">
        <v>0.3019247113107712</v>
      </c>
      <c r="D8" s="39">
        <v>1.2603318872474001</v>
      </c>
      <c r="E8" s="26">
        <v>3.9</v>
      </c>
      <c r="F8" s="26">
        <v>1.2</v>
      </c>
      <c r="G8" s="26">
        <v>5.0299999999999994</v>
      </c>
      <c r="H8" s="26">
        <v>19.223894337482697</v>
      </c>
      <c r="I8" s="26">
        <v>2.9000000000000004</v>
      </c>
      <c r="J8" s="26">
        <v>-1.1499999999999997</v>
      </c>
      <c r="K8" s="36">
        <v>0.25566106647187725</v>
      </c>
      <c r="L8" s="16">
        <v>8.4000000000000075</v>
      </c>
      <c r="N8" s="6">
        <v>2010</v>
      </c>
      <c r="O8" s="26">
        <v>-1.8397394471697499</v>
      </c>
      <c r="P8" s="26"/>
      <c r="Q8" s="16"/>
    </row>
    <row r="9" spans="1:20" x14ac:dyDescent="0.2">
      <c r="A9" s="6">
        <v>2024</v>
      </c>
      <c r="B9" s="25" t="s">
        <v>9</v>
      </c>
      <c r="C9" s="39">
        <v>0.32430156604972382</v>
      </c>
      <c r="D9" s="39">
        <v>1.2273150318477499</v>
      </c>
      <c r="E9" s="26">
        <v>3.2</v>
      </c>
      <c r="F9" s="26">
        <v>1</v>
      </c>
      <c r="G9" s="26">
        <v>5.1499999999999995</v>
      </c>
      <c r="H9" s="26">
        <v>20.032104573256142</v>
      </c>
      <c r="I9" s="26">
        <v>2.8000000000000003</v>
      </c>
      <c r="J9" s="26">
        <v>-0.58999999999999952</v>
      </c>
      <c r="K9" s="36">
        <v>0.23560209424083767</v>
      </c>
      <c r="L9" s="16">
        <v>13.400000000000013</v>
      </c>
      <c r="N9" s="6">
        <v>2011</v>
      </c>
      <c r="O9" s="26">
        <v>-1.47424580677378</v>
      </c>
      <c r="P9" s="26"/>
      <c r="Q9" s="16"/>
    </row>
    <row r="10" spans="1:20" ht="16" thickBot="1" x14ac:dyDescent="0.25">
      <c r="A10" s="7">
        <v>2025</v>
      </c>
      <c r="B10" s="8" t="s">
        <v>9</v>
      </c>
      <c r="C10" s="40">
        <v>4.7493795030434792E-2</v>
      </c>
      <c r="D10" s="40">
        <v>0.87428537438507703</v>
      </c>
      <c r="E10" s="17">
        <v>3</v>
      </c>
      <c r="F10" s="17">
        <v>-3</v>
      </c>
      <c r="G10" s="17">
        <v>3.6999999999999997</v>
      </c>
      <c r="H10" s="17">
        <v>18.426116422964299</v>
      </c>
      <c r="I10" s="17">
        <v>1.7999999999999998</v>
      </c>
      <c r="J10" s="17">
        <v>0.30000000000000027</v>
      </c>
      <c r="K10" s="37">
        <v>0.16760828625235402</v>
      </c>
      <c r="L10" s="18">
        <v>8.6999999999999957</v>
      </c>
      <c r="N10" s="6">
        <v>2012</v>
      </c>
      <c r="O10" s="26">
        <v>-1.2064374467585099</v>
      </c>
      <c r="P10" s="26"/>
      <c r="Q10" s="16"/>
    </row>
    <row r="11" spans="1:20" ht="16" thickBot="1" x14ac:dyDescent="0.25">
      <c r="A11" s="42" t="s">
        <v>39</v>
      </c>
      <c r="B11" s="43"/>
      <c r="C11" s="44">
        <v>0.28250665486592902</v>
      </c>
      <c r="D11" s="45">
        <v>0.60908420179231504</v>
      </c>
      <c r="E11" s="15"/>
      <c r="F11" s="15"/>
      <c r="G11" s="15"/>
      <c r="H11" s="15"/>
      <c r="I11" s="15"/>
      <c r="J11" s="15"/>
      <c r="K11" s="15"/>
      <c r="L11" s="15"/>
      <c r="M11" s="15"/>
      <c r="N11" s="6">
        <v>2013</v>
      </c>
      <c r="O11" s="26">
        <v>-0.54782187233792501</v>
      </c>
      <c r="P11" s="26"/>
      <c r="Q11" s="16"/>
    </row>
    <row r="12" spans="1:20" x14ac:dyDescent="0.2">
      <c r="N12" s="6">
        <v>2014</v>
      </c>
      <c r="O12" s="26">
        <v>3.7100138060688702E-2</v>
      </c>
      <c r="P12" s="26"/>
      <c r="Q12" s="16"/>
    </row>
    <row r="13" spans="1:20" x14ac:dyDescent="0.2">
      <c r="N13" s="6">
        <v>2015</v>
      </c>
      <c r="O13" s="26">
        <v>-0.13560056399259601</v>
      </c>
      <c r="P13" s="26"/>
      <c r="Q13" s="16"/>
    </row>
    <row r="14" spans="1:20" x14ac:dyDescent="0.2">
      <c r="N14" s="6" cm="1">
        <f t="array" ref="N14:N22">A2:A10</f>
        <v>2017</v>
      </c>
      <c r="O14" s="26"/>
      <c r="P14" s="26" cm="1">
        <f t="array" ref="P14:P22">C2:C10</f>
        <v>-9.937829529742831E-2</v>
      </c>
      <c r="Q14" s="16" cm="1">
        <f t="array" ref="Q14:Q22">D2:D10</f>
        <v>-8.8509599422470803E-2</v>
      </c>
    </row>
    <row r="15" spans="1:20" x14ac:dyDescent="0.2">
      <c r="N15" s="6">
        <v>2018</v>
      </c>
      <c r="O15" s="26"/>
      <c r="P15" s="26">
        <v>-1.8389587381888395E-2</v>
      </c>
      <c r="Q15" s="16">
        <v>0.28220141029267298</v>
      </c>
    </row>
    <row r="16" spans="1:20" x14ac:dyDescent="0.2">
      <c r="M16" s="15"/>
      <c r="N16" s="6">
        <v>2019</v>
      </c>
      <c r="O16" s="26"/>
      <c r="P16" s="26">
        <v>-2.3966171839091242E-2</v>
      </c>
      <c r="Q16" s="16">
        <v>0.13156651457591101</v>
      </c>
      <c r="R16" s="15"/>
      <c r="S16" s="15"/>
      <c r="T16" s="15"/>
    </row>
    <row r="17" spans="13:20" x14ac:dyDescent="0.2">
      <c r="M17" s="15"/>
      <c r="N17" s="6">
        <v>2020</v>
      </c>
      <c r="O17" s="26"/>
      <c r="P17" s="26">
        <v>-0.40200956155082712</v>
      </c>
      <c r="Q17" s="16">
        <v>-0.77879750932692904</v>
      </c>
      <c r="R17" s="15"/>
      <c r="S17" s="15"/>
      <c r="T17" s="15"/>
    </row>
    <row r="18" spans="13:20" x14ac:dyDescent="0.2">
      <c r="M18" s="15"/>
      <c r="N18" s="6">
        <v>2021</v>
      </c>
      <c r="O18" s="26"/>
      <c r="P18" s="26">
        <v>0.66034222273415011</v>
      </c>
      <c r="Q18" s="16">
        <v>1.6965529710529399</v>
      </c>
      <c r="R18" s="15"/>
      <c r="S18" s="15"/>
      <c r="T18" s="15"/>
    </row>
    <row r="19" spans="13:20" x14ac:dyDescent="0.2">
      <c r="M19" s="15"/>
      <c r="N19" s="6">
        <v>2022</v>
      </c>
      <c r="O19" s="26"/>
      <c r="P19" s="26">
        <v>0.26031091544264628</v>
      </c>
      <c r="Q19" s="16">
        <v>1.09400630291467</v>
      </c>
      <c r="R19" s="15"/>
      <c r="S19" s="15"/>
      <c r="T19" s="15"/>
    </row>
    <row r="20" spans="13:20" x14ac:dyDescent="0.2">
      <c r="M20" s="15"/>
      <c r="N20" s="6">
        <v>2023</v>
      </c>
      <c r="O20" s="26"/>
      <c r="P20" s="26">
        <v>0.3019247113107712</v>
      </c>
      <c r="Q20" s="16">
        <v>1.2603318872474001</v>
      </c>
      <c r="R20" s="15"/>
      <c r="S20" s="15"/>
      <c r="T20" s="15"/>
    </row>
    <row r="21" spans="13:20" x14ac:dyDescent="0.2">
      <c r="M21" s="15"/>
      <c r="N21" s="6">
        <v>2024</v>
      </c>
      <c r="O21" s="26"/>
      <c r="P21" s="26">
        <v>0.32430156604972382</v>
      </c>
      <c r="Q21" s="16">
        <v>1.2273150318477499</v>
      </c>
      <c r="R21" s="15"/>
      <c r="S21" s="15"/>
      <c r="T21" s="15"/>
    </row>
    <row r="22" spans="13:20" ht="16" thickBot="1" x14ac:dyDescent="0.25">
      <c r="M22" s="15"/>
      <c r="N22" s="7">
        <v>2025</v>
      </c>
      <c r="O22" s="17"/>
      <c r="P22" s="17">
        <v>4.7493795030434792E-2</v>
      </c>
      <c r="Q22" s="18">
        <v>0.87428537438507703</v>
      </c>
      <c r="R22" s="15"/>
      <c r="S22" s="15"/>
      <c r="T22" s="15"/>
    </row>
    <row r="23" spans="13:20" x14ac:dyDescent="0.2">
      <c r="M23" s="15"/>
      <c r="N23" s="15"/>
      <c r="O23" s="15"/>
      <c r="P23" s="15"/>
      <c r="Q23" s="15"/>
      <c r="R23" s="15"/>
      <c r="S23" s="15"/>
      <c r="T23" s="15"/>
    </row>
    <row r="24" spans="13:20" x14ac:dyDescent="0.2">
      <c r="M24" s="15"/>
      <c r="N24" s="15"/>
      <c r="O24" s="15"/>
      <c r="P24" s="15"/>
      <c r="Q24" s="15"/>
      <c r="R24" s="15"/>
      <c r="S24" s="15"/>
      <c r="T24" s="15"/>
    </row>
    <row r="25" spans="13:20" x14ac:dyDescent="0.2">
      <c r="M25" s="15"/>
      <c r="N25" s="15"/>
      <c r="O25" s="15"/>
      <c r="P25" s="15"/>
      <c r="Q25" s="15"/>
      <c r="R25" s="15"/>
      <c r="S25" s="15"/>
      <c r="T25" s="15"/>
    </row>
    <row r="26" spans="13:20" x14ac:dyDescent="0.2">
      <c r="M26" s="15"/>
      <c r="N26" s="15"/>
      <c r="O26" s="15"/>
      <c r="P26" s="15"/>
      <c r="Q26" s="15"/>
      <c r="R26" s="15"/>
      <c r="S26" s="15"/>
      <c r="T26" s="15"/>
    </row>
    <row r="27" spans="13:20" x14ac:dyDescent="0.2">
      <c r="M27" s="15"/>
      <c r="N27" s="15"/>
      <c r="O27" s="15"/>
      <c r="P27" s="15"/>
      <c r="Q27" s="15"/>
      <c r="R27" s="15"/>
      <c r="S27" s="15"/>
      <c r="T27" s="15"/>
    </row>
    <row r="28" spans="13:20" x14ac:dyDescent="0.2">
      <c r="M28" s="15"/>
      <c r="N28" s="15"/>
      <c r="O28" s="15"/>
      <c r="P28" s="15"/>
      <c r="Q28" s="15"/>
      <c r="R28" s="15"/>
      <c r="S28" s="15"/>
      <c r="T28" s="15"/>
    </row>
    <row r="29" spans="13:20" x14ac:dyDescent="0.2">
      <c r="M29" s="15"/>
      <c r="N29" s="15"/>
      <c r="O29" s="15"/>
      <c r="P29" s="15"/>
      <c r="Q29" s="15"/>
      <c r="R29" s="15"/>
      <c r="S29" s="15"/>
      <c r="T29" s="15"/>
    </row>
    <row r="30" spans="13:20" x14ac:dyDescent="0.2">
      <c r="M30" s="15"/>
      <c r="N30" s="15"/>
      <c r="O30" s="15"/>
      <c r="P30" s="15"/>
      <c r="Q30" s="15"/>
      <c r="R30" s="15"/>
      <c r="S30" s="15"/>
      <c r="T30" s="15"/>
    </row>
    <row r="31" spans="13:20" x14ac:dyDescent="0.2">
      <c r="M31" s="15"/>
      <c r="N31" s="15"/>
      <c r="O31" s="15"/>
      <c r="P31" s="15"/>
      <c r="Q31" s="15"/>
      <c r="R31" s="15"/>
      <c r="S31" s="15"/>
      <c r="T31" s="15"/>
    </row>
    <row r="32" spans="13:20" x14ac:dyDescent="0.2">
      <c r="M32" s="15"/>
      <c r="N32" s="15"/>
      <c r="O32" s="15"/>
      <c r="P32" s="15"/>
      <c r="Q32" s="15"/>
      <c r="R32" s="15"/>
      <c r="S32" s="15"/>
      <c r="T32" s="15"/>
    </row>
    <row r="33" spans="10:20" x14ac:dyDescent="0.2">
      <c r="M33" s="15"/>
      <c r="N33" s="15"/>
      <c r="O33" s="15"/>
      <c r="P33" s="15"/>
      <c r="Q33" s="15"/>
      <c r="R33" s="15"/>
      <c r="S33" s="15"/>
      <c r="T33" s="15"/>
    </row>
    <row r="34" spans="10:20" x14ac:dyDescent="0.2">
      <c r="M34" s="15"/>
      <c r="N34" s="15"/>
      <c r="O34" s="15"/>
      <c r="P34" s="15"/>
      <c r="Q34" s="15"/>
      <c r="R34" s="15"/>
      <c r="S34" s="15"/>
      <c r="T34" s="15"/>
    </row>
    <row r="35" spans="10:20" x14ac:dyDescent="0.2">
      <c r="M35" s="15"/>
      <c r="N35" s="15"/>
      <c r="O35" s="15"/>
      <c r="P35" s="15"/>
      <c r="Q35" s="15"/>
      <c r="R35" s="15"/>
      <c r="S35" s="15"/>
      <c r="T35" s="15"/>
    </row>
    <row r="36" spans="10:20" x14ac:dyDescent="0.2"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0:20" x14ac:dyDescent="0.2"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0:20" x14ac:dyDescent="0.2">
      <c r="K38" s="46"/>
      <c r="L38" s="46"/>
      <c r="M38" s="46"/>
      <c r="N38" s="46"/>
      <c r="O38" s="46"/>
      <c r="P38" s="46"/>
      <c r="Q38" s="46"/>
      <c r="R38" s="46"/>
      <c r="S38" s="46"/>
      <c r="T38" s="46"/>
    </row>
  </sheetData>
  <mergeCells count="2">
    <mergeCell ref="A11:B11"/>
    <mergeCell ref="N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1FE2-F89B-6D42-AC84-759F63BE8267}">
  <dimension ref="A1:K201"/>
  <sheetViews>
    <sheetView workbookViewId="0">
      <selection activeCell="G1" sqref="G1"/>
    </sheetView>
  </sheetViews>
  <sheetFormatPr baseColWidth="10" defaultColWidth="7.1640625" defaultRowHeight="15" x14ac:dyDescent="0.2"/>
  <cols>
    <col min="1" max="1" width="5.5" style="6" customWidth="1"/>
    <col min="2" max="2" width="13" style="3" bestFit="1" customWidth="1"/>
    <col min="3" max="3" width="7.5" style="15" customWidth="1"/>
    <col min="4" max="4" width="10.83203125" style="15" bestFit="1" customWidth="1"/>
    <col min="5" max="5" width="9.6640625" style="15" customWidth="1"/>
    <col min="6" max="6" width="4.6640625" style="15" bestFit="1" customWidth="1"/>
    <col min="7" max="7" width="7.6640625" style="15" customWidth="1"/>
    <col min="8" max="8" width="7.33203125" style="15" customWidth="1"/>
    <col min="9" max="9" width="5.5" style="15" bestFit="1" customWidth="1"/>
    <col min="10" max="10" width="6.6640625" style="15" bestFit="1" customWidth="1"/>
    <col min="11" max="11" width="8" style="15" bestFit="1" customWidth="1"/>
    <col min="12" max="16384" width="7.1640625" style="3"/>
  </cols>
  <sheetData>
    <row r="1" spans="1:11" ht="16" thickBot="1" x14ac:dyDescent="0.25">
      <c r="A1" s="1" t="s">
        <v>0</v>
      </c>
      <c r="B1" s="2" t="s">
        <v>1</v>
      </c>
      <c r="C1" s="21" t="s">
        <v>2</v>
      </c>
      <c r="D1" s="11" t="s">
        <v>3</v>
      </c>
      <c r="E1" s="11" t="s">
        <v>21</v>
      </c>
      <c r="F1" s="11" t="s">
        <v>4</v>
      </c>
      <c r="G1" s="11" t="s">
        <v>22</v>
      </c>
      <c r="H1" s="11" t="s">
        <v>5</v>
      </c>
      <c r="I1" s="11" t="s">
        <v>6</v>
      </c>
      <c r="J1" s="11" t="s">
        <v>23</v>
      </c>
      <c r="K1" s="12" t="s">
        <v>7</v>
      </c>
    </row>
    <row r="2" spans="1:11" x14ac:dyDescent="0.2">
      <c r="A2" s="4">
        <v>1927</v>
      </c>
      <c r="B2" s="5" t="s">
        <v>8</v>
      </c>
      <c r="C2" s="22">
        <v>0.28199117065002199</v>
      </c>
      <c r="D2" s="13">
        <v>0.37353791975851802</v>
      </c>
      <c r="E2" s="13">
        <v>-1.3506501825635699</v>
      </c>
      <c r="F2" s="13">
        <v>4.0868555503947901</v>
      </c>
      <c r="G2" s="13">
        <v>11.9874687574896</v>
      </c>
      <c r="H2" s="13">
        <v>0.230647024841132</v>
      </c>
      <c r="I2" s="13">
        <v>-7.2862341950250098E-2</v>
      </c>
      <c r="J2" s="13">
        <v>85.706110082477593</v>
      </c>
      <c r="K2" s="14">
        <v>4.1054954931141001</v>
      </c>
    </row>
    <row r="3" spans="1:11" x14ac:dyDescent="0.2">
      <c r="A3" s="6">
        <v>1928</v>
      </c>
      <c r="B3" s="25" t="s">
        <v>8</v>
      </c>
      <c r="C3" s="23">
        <v>0.71689754909422998</v>
      </c>
      <c r="D3" s="26">
        <v>-2.5589234058608898</v>
      </c>
      <c r="E3" s="26">
        <v>-0.39971814746012702</v>
      </c>
      <c r="F3" s="26">
        <v>4.0350263653998502</v>
      </c>
      <c r="G3" s="26">
        <v>12.066901770123501</v>
      </c>
      <c r="H3" s="26">
        <v>6.4975207009435696</v>
      </c>
      <c r="I3" s="26">
        <v>-0.24342475518703499</v>
      </c>
      <c r="J3" s="26">
        <v>94.664197946473607</v>
      </c>
      <c r="K3" s="16">
        <v>9.4221670058946501</v>
      </c>
    </row>
    <row r="4" spans="1:11" x14ac:dyDescent="0.2">
      <c r="A4" s="6">
        <v>1929</v>
      </c>
      <c r="B4" s="25" t="s">
        <v>8</v>
      </c>
      <c r="C4" s="23">
        <v>0.73836200334906299</v>
      </c>
      <c r="D4" s="26">
        <v>-0.45126399195069999</v>
      </c>
      <c r="E4" s="26">
        <v>-1.8073794119531099</v>
      </c>
      <c r="F4" s="26">
        <v>5.4156717029589299</v>
      </c>
      <c r="G4" s="26">
        <v>12.286369705892399</v>
      </c>
      <c r="H4" s="26">
        <v>2.5388744463701101</v>
      </c>
      <c r="I4" s="26">
        <v>-3.8194574719543697E-2</v>
      </c>
      <c r="J4" s="26">
        <v>99.622959097794904</v>
      </c>
      <c r="K4" s="16">
        <v>7.1643625598054497</v>
      </c>
    </row>
    <row r="5" spans="1:11" x14ac:dyDescent="0.2">
      <c r="A5" s="6">
        <v>1930</v>
      </c>
      <c r="B5" s="25" t="s">
        <v>8</v>
      </c>
      <c r="C5" s="23">
        <v>0.26495661440097401</v>
      </c>
      <c r="D5" s="26">
        <v>0.236574015847061</v>
      </c>
      <c r="E5" s="26">
        <v>-1.28755364806867</v>
      </c>
      <c r="F5" s="26">
        <v>2.1033851534111001</v>
      </c>
      <c r="G5" s="26">
        <v>11.6440579313178</v>
      </c>
      <c r="H5" s="26">
        <v>0.75568072405160702</v>
      </c>
      <c r="I5" s="26">
        <v>-2.2639102540051699</v>
      </c>
      <c r="J5" s="26">
        <v>85.347023508949107</v>
      </c>
      <c r="K5" s="16">
        <v>8.8740715286405205</v>
      </c>
    </row>
    <row r="6" spans="1:11" x14ac:dyDescent="0.2">
      <c r="A6" s="6">
        <v>1931</v>
      </c>
      <c r="B6" s="25" t="s">
        <v>8</v>
      </c>
      <c r="C6" s="23">
        <v>-1.7358958745623301</v>
      </c>
      <c r="D6" s="26">
        <v>-3.4323984404477401</v>
      </c>
      <c r="E6" s="26">
        <v>2.6683108064826002</v>
      </c>
      <c r="F6" s="26">
        <v>4.5810496980956801</v>
      </c>
      <c r="G6" s="26">
        <v>12.0754613620022</v>
      </c>
      <c r="H6" s="26">
        <v>-3.7844454072790299</v>
      </c>
      <c r="I6" s="26">
        <v>-2.1523280681349202</v>
      </c>
      <c r="J6" s="26">
        <v>62.4462772821634</v>
      </c>
      <c r="K6" s="16">
        <v>11.496788348180001</v>
      </c>
    </row>
    <row r="7" spans="1:11" x14ac:dyDescent="0.2">
      <c r="A7" s="6">
        <v>1932</v>
      </c>
      <c r="B7" s="25" t="s">
        <v>8</v>
      </c>
      <c r="C7" s="23">
        <v>-2.8903638301111201</v>
      </c>
      <c r="D7" s="26">
        <v>-1.2077726072192201</v>
      </c>
      <c r="E7" s="26">
        <v>4.1531612324642797</v>
      </c>
      <c r="F7" s="26">
        <v>0.56457473839512495</v>
      </c>
      <c r="G7" s="26">
        <v>11.5249084123668</v>
      </c>
      <c r="H7" s="26">
        <v>-5.3918977469670697</v>
      </c>
      <c r="I7" s="26">
        <v>1.1567178178816599</v>
      </c>
      <c r="J7" s="26">
        <v>40.6452336868091</v>
      </c>
      <c r="K7" s="16">
        <v>-10.3746927123258</v>
      </c>
    </row>
    <row r="8" spans="1:11" x14ac:dyDescent="0.2">
      <c r="A8" s="6">
        <v>1933</v>
      </c>
      <c r="B8" s="25" t="s">
        <v>8</v>
      </c>
      <c r="C8" s="23">
        <v>-3.0129852336733101</v>
      </c>
      <c r="D8" s="26">
        <v>-3.2369513268771199</v>
      </c>
      <c r="E8" s="26">
        <v>3.39312023573122</v>
      </c>
      <c r="F8" s="26">
        <v>9.1035764050161505E-2</v>
      </c>
      <c r="G8" s="26">
        <v>11.785804772828399</v>
      </c>
      <c r="H8" s="26">
        <v>0.60201232428268903</v>
      </c>
      <c r="I8" s="26">
        <v>-2.5143886241698801</v>
      </c>
      <c r="J8" s="26">
        <v>65.864332603938706</v>
      </c>
      <c r="K8" s="16">
        <v>-15.595411170733</v>
      </c>
    </row>
    <row r="9" spans="1:11" x14ac:dyDescent="0.2">
      <c r="A9" s="6">
        <v>1934</v>
      </c>
      <c r="B9" s="25" t="s">
        <v>8</v>
      </c>
      <c r="C9" s="23">
        <v>-1.09196224691733</v>
      </c>
      <c r="D9" s="26">
        <v>-0.68029178719658001</v>
      </c>
      <c r="E9" s="26">
        <v>-0.16174492345140801</v>
      </c>
      <c r="F9" s="26">
        <v>0.85183464932652098</v>
      </c>
      <c r="G9" s="26">
        <v>13.4751258260006</v>
      </c>
      <c r="H9" s="26">
        <v>7.2357019064124799</v>
      </c>
      <c r="I9" s="26">
        <v>-2.3576332870596102</v>
      </c>
      <c r="J9" s="26">
        <v>85.308870560511593</v>
      </c>
      <c r="K9" s="16">
        <v>3.4440009516005499</v>
      </c>
    </row>
    <row r="10" spans="1:11" x14ac:dyDescent="0.2">
      <c r="A10" s="6">
        <v>1935</v>
      </c>
      <c r="B10" s="25" t="s">
        <v>8</v>
      </c>
      <c r="C10" s="23">
        <v>-0.51255898919165699</v>
      </c>
      <c r="D10" s="26">
        <v>-0.33014715130172601</v>
      </c>
      <c r="E10" s="26">
        <v>-5.11594388572159</v>
      </c>
      <c r="F10" s="26">
        <v>0.20827299800551899</v>
      </c>
      <c r="G10" s="26">
        <v>12.7872770226315</v>
      </c>
      <c r="H10" s="26">
        <v>4.8211534758328503</v>
      </c>
      <c r="I10" s="26">
        <v>-2.4581848197200999</v>
      </c>
      <c r="J10" s="26">
        <v>86.692476014139004</v>
      </c>
      <c r="K10" s="16">
        <v>-7.5731542914539304E-2</v>
      </c>
    </row>
    <row r="11" spans="1:11" ht="16" thickBot="1" x14ac:dyDescent="0.25">
      <c r="A11" s="7">
        <v>1936</v>
      </c>
      <c r="B11" s="8" t="s">
        <v>8</v>
      </c>
      <c r="C11" s="24">
        <v>-1.51773481504031E-2</v>
      </c>
      <c r="D11" s="17">
        <v>0.87385234561689895</v>
      </c>
      <c r="E11" s="17">
        <v>-6.4163090128755398</v>
      </c>
      <c r="F11" s="17">
        <v>0.49323788967514398</v>
      </c>
      <c r="G11" s="17">
        <v>12.641079193344</v>
      </c>
      <c r="H11" s="17">
        <v>3.8526381667629499</v>
      </c>
      <c r="I11" s="17">
        <v>-2.4396503207893998</v>
      </c>
      <c r="J11" s="17">
        <v>95.576502272344698</v>
      </c>
      <c r="K11" s="18">
        <v>2.27221062091935</v>
      </c>
    </row>
    <row r="12" spans="1:11" x14ac:dyDescent="0.2">
      <c r="A12" s="6">
        <v>1926</v>
      </c>
      <c r="B12" s="25" t="s">
        <v>9</v>
      </c>
      <c r="C12" s="23"/>
      <c r="D12" s="26"/>
      <c r="E12" s="26"/>
      <c r="F12" s="26">
        <v>3.4284084185613999</v>
      </c>
      <c r="G12" s="26">
        <v>6.8628771236562596</v>
      </c>
      <c r="H12" s="26">
        <v>6.38931749677048</v>
      </c>
      <c r="I12" s="26">
        <v>-0.18629352450776401</v>
      </c>
      <c r="J12" s="26">
        <v>44.346242508068201</v>
      </c>
      <c r="K12" s="16">
        <v>8.7125748502994007</v>
      </c>
    </row>
    <row r="13" spans="1:11" x14ac:dyDescent="0.2">
      <c r="A13" s="6">
        <v>1927</v>
      </c>
      <c r="B13" s="25" t="s">
        <v>9</v>
      </c>
      <c r="C13" s="23">
        <v>0.8</v>
      </c>
      <c r="D13" s="26">
        <v>2.5</v>
      </c>
      <c r="E13" s="26">
        <v>0.7</v>
      </c>
      <c r="F13" s="26">
        <v>2.7180289071084398</v>
      </c>
      <c r="G13" s="26">
        <v>6.6657914234833804</v>
      </c>
      <c r="H13" s="26">
        <v>1.22344624659107</v>
      </c>
      <c r="I13" s="26">
        <v>0.17969313254602201</v>
      </c>
      <c r="J13" s="26">
        <v>55.177040110649997</v>
      </c>
      <c r="K13" s="16">
        <v>2.6497005988023901</v>
      </c>
    </row>
    <row r="14" spans="1:11" x14ac:dyDescent="0.2">
      <c r="A14" s="6">
        <v>1928</v>
      </c>
      <c r="B14" s="25" t="s">
        <v>9</v>
      </c>
      <c r="C14" s="23">
        <v>1.05</v>
      </c>
      <c r="D14" s="26">
        <v>2</v>
      </c>
      <c r="E14" s="26">
        <v>2.2000000000000002</v>
      </c>
      <c r="F14" s="26">
        <v>4.5280830022821403</v>
      </c>
      <c r="G14" s="26">
        <v>6.5768025893332904</v>
      </c>
      <c r="H14" s="26">
        <v>1.02456222190325</v>
      </c>
      <c r="I14" s="26">
        <v>1.0362006112978399</v>
      </c>
      <c r="J14" s="26">
        <v>73.222452743199597</v>
      </c>
      <c r="K14" s="16">
        <v>3.4580838323353298</v>
      </c>
    </row>
    <row r="15" spans="1:11" x14ac:dyDescent="0.2">
      <c r="A15" s="6">
        <v>1929</v>
      </c>
      <c r="B15" s="25" t="s">
        <v>9</v>
      </c>
      <c r="C15" s="23">
        <v>1.3</v>
      </c>
      <c r="D15" s="26">
        <v>3.8</v>
      </c>
      <c r="E15" s="26">
        <v>2.35</v>
      </c>
      <c r="F15" s="26">
        <v>3.16780069309441</v>
      </c>
      <c r="G15" s="26">
        <v>6.4366770222667</v>
      </c>
      <c r="H15" s="26">
        <v>6.4649418688100999</v>
      </c>
      <c r="I15" s="26">
        <v>2.1251434315945499</v>
      </c>
      <c r="J15" s="26">
        <v>108.775933609958</v>
      </c>
      <c r="K15" s="16">
        <v>0.76347305389222697</v>
      </c>
    </row>
    <row r="16" spans="1:11" x14ac:dyDescent="0.2">
      <c r="A16" s="6">
        <v>1930</v>
      </c>
      <c r="B16" s="25" t="s">
        <v>9</v>
      </c>
      <c r="C16" s="23">
        <v>0.1</v>
      </c>
      <c r="D16" s="26">
        <v>1.27</v>
      </c>
      <c r="E16" s="26">
        <v>4.6500000000000004</v>
      </c>
      <c r="F16" s="26">
        <v>1.66139802214521</v>
      </c>
      <c r="G16" s="26">
        <v>6.4688877045664297</v>
      </c>
      <c r="H16" s="26">
        <v>-6.1532941007607302</v>
      </c>
      <c r="I16" s="26">
        <v>5.4610627646502097E-2</v>
      </c>
      <c r="J16" s="26">
        <v>76.377132319040996</v>
      </c>
      <c r="K16" s="16">
        <v>3.9970059880239499</v>
      </c>
    </row>
    <row r="17" spans="1:11" x14ac:dyDescent="0.2">
      <c r="A17" s="6">
        <v>1931</v>
      </c>
      <c r="B17" s="25" t="s">
        <v>9</v>
      </c>
      <c r="C17" s="23">
        <v>-2.48</v>
      </c>
      <c r="D17" s="26">
        <v>-6.7</v>
      </c>
      <c r="E17" s="26">
        <v>13</v>
      </c>
      <c r="F17" s="26">
        <v>1.5402544163637899</v>
      </c>
      <c r="G17" s="26">
        <v>7.4710584809764597</v>
      </c>
      <c r="H17" s="26">
        <v>-7.0196103057269896</v>
      </c>
      <c r="I17" s="26">
        <v>-1.6258694747103399</v>
      </c>
      <c r="J17" s="26">
        <v>49.650299677270603</v>
      </c>
      <c r="K17" s="16">
        <v>15.0449101796407</v>
      </c>
    </row>
    <row r="18" spans="1:11" x14ac:dyDescent="0.2">
      <c r="A18" s="6">
        <v>1932</v>
      </c>
      <c r="B18" s="25" t="s">
        <v>9</v>
      </c>
      <c r="C18" s="23">
        <v>-3.4</v>
      </c>
      <c r="D18" s="26">
        <v>-8.9</v>
      </c>
      <c r="E18" s="26">
        <v>27.8</v>
      </c>
      <c r="F18" s="26">
        <v>3.4422280449666297E-2</v>
      </c>
      <c r="G18" s="26">
        <v>9.1642120861551195</v>
      </c>
      <c r="H18" s="26">
        <v>-11.89805511698</v>
      </c>
      <c r="I18" s="26">
        <v>-2.1910864245169002</v>
      </c>
      <c r="J18" s="26">
        <v>28.072614107883702</v>
      </c>
      <c r="K18" s="16">
        <v>23.802395209580801</v>
      </c>
    </row>
    <row r="19" spans="1:11" x14ac:dyDescent="0.2">
      <c r="A19" s="6">
        <v>1933</v>
      </c>
      <c r="B19" s="25" t="s">
        <v>9</v>
      </c>
      <c r="C19" s="23">
        <v>-3</v>
      </c>
      <c r="D19" s="26">
        <v>-6.2</v>
      </c>
      <c r="E19" s="26">
        <v>30</v>
      </c>
      <c r="F19" s="26">
        <v>0.121967711943201</v>
      </c>
      <c r="G19" s="26">
        <v>9.7398187986637303</v>
      </c>
      <c r="H19" s="26">
        <v>-2.8285129898090902</v>
      </c>
      <c r="I19" s="26">
        <v>-3.3231044182008298</v>
      </c>
      <c r="J19" s="26">
        <v>38.395112955278897</v>
      </c>
      <c r="K19" s="16">
        <v>-3.4131736526946002</v>
      </c>
    </row>
    <row r="20" spans="1:11" x14ac:dyDescent="0.2">
      <c r="A20" s="6">
        <v>1934</v>
      </c>
      <c r="B20" s="25" t="s">
        <v>9</v>
      </c>
      <c r="C20" s="23">
        <v>-2.1</v>
      </c>
      <c r="D20" s="26">
        <v>6.2</v>
      </c>
      <c r="E20" s="26">
        <v>13.1</v>
      </c>
      <c r="F20" s="26">
        <v>0.14675428957822501</v>
      </c>
      <c r="G20" s="26">
        <v>11.1685536389751</v>
      </c>
      <c r="H20" s="26">
        <v>9.2035668149849297</v>
      </c>
      <c r="I20" s="26">
        <v>-3.10303719574731</v>
      </c>
      <c r="J20" s="26">
        <v>34.314200092208303</v>
      </c>
      <c r="K20" s="16">
        <v>-9.4760479041916099</v>
      </c>
    </row>
    <row r="21" spans="1:11" x14ac:dyDescent="0.2">
      <c r="A21" s="6">
        <v>1935</v>
      </c>
      <c r="B21" s="25" t="s">
        <v>9</v>
      </c>
      <c r="C21" s="23">
        <v>-1.4</v>
      </c>
      <c r="D21" s="26">
        <v>5.9</v>
      </c>
      <c r="E21" s="26">
        <v>-8.1999999999999993</v>
      </c>
      <c r="F21" s="26">
        <v>2.44696137266497E-2</v>
      </c>
      <c r="G21" s="26">
        <v>11.7441603514837</v>
      </c>
      <c r="H21" s="26">
        <v>9.5792665422707</v>
      </c>
      <c r="I21" s="26">
        <v>-3.02888940789407</v>
      </c>
      <c r="J21" s="26">
        <v>43.618487782388101</v>
      </c>
      <c r="K21" s="16">
        <v>-2.4700598802395102</v>
      </c>
    </row>
    <row r="22" spans="1:11" ht="16" thickBot="1" x14ac:dyDescent="0.25">
      <c r="A22" s="6">
        <v>1936</v>
      </c>
      <c r="B22" s="25" t="s">
        <v>9</v>
      </c>
      <c r="C22" s="23">
        <v>-0.18</v>
      </c>
      <c r="D22" s="26">
        <v>5.8</v>
      </c>
      <c r="E22" s="26">
        <v>-19.399999999999999</v>
      </c>
      <c r="F22" s="26">
        <v>0.13337841264474701</v>
      </c>
      <c r="G22" s="26">
        <v>12.685003444645201</v>
      </c>
      <c r="H22" s="26">
        <v>12.343458446964201</v>
      </c>
      <c r="I22" s="26">
        <v>-2.7934077315976</v>
      </c>
      <c r="J22" s="26">
        <v>53.416551406177902</v>
      </c>
      <c r="K22" s="16">
        <v>-6.6467065868263298</v>
      </c>
    </row>
    <row r="23" spans="1:11" x14ac:dyDescent="0.2">
      <c r="A23" s="4">
        <v>1925</v>
      </c>
      <c r="B23" s="5" t="s">
        <v>10</v>
      </c>
      <c r="C23" s="22">
        <v>-0.63710639860460805</v>
      </c>
      <c r="D23" s="13">
        <v>-1.3471613896480501</v>
      </c>
      <c r="E23" s="13">
        <v>4.5235065606696603</v>
      </c>
      <c r="F23" s="13">
        <v>5.8362351318738099</v>
      </c>
      <c r="G23" s="13"/>
      <c r="H23" s="13">
        <v>3.0641391265447502</v>
      </c>
      <c r="I23" s="13">
        <v>1.1144459489716401</v>
      </c>
      <c r="J23" s="13">
        <v>68.1991487104047</v>
      </c>
      <c r="K23" s="14">
        <v>5.6039790452645803</v>
      </c>
    </row>
    <row r="24" spans="1:11" x14ac:dyDescent="0.2">
      <c r="A24" s="6">
        <v>1926</v>
      </c>
      <c r="B24" s="25" t="s">
        <v>10</v>
      </c>
      <c r="C24" s="23">
        <v>0.27741439456531503</v>
      </c>
      <c r="D24" s="26">
        <v>-9.0513300951176205</v>
      </c>
      <c r="E24" s="26">
        <v>3.9543699712557299</v>
      </c>
      <c r="F24" s="26">
        <v>6.5147388381313496</v>
      </c>
      <c r="G24" s="26"/>
      <c r="H24" s="26">
        <v>2.6749426829950198</v>
      </c>
      <c r="I24" s="26">
        <v>1.0099583115650701</v>
      </c>
      <c r="J24" s="26">
        <v>92.733652466448802</v>
      </c>
      <c r="K24" s="16">
        <v>11.061628112307901</v>
      </c>
    </row>
    <row r="25" spans="1:11" x14ac:dyDescent="0.2">
      <c r="A25" s="6">
        <v>1927</v>
      </c>
      <c r="B25" s="25" t="s">
        <v>10</v>
      </c>
      <c r="C25" s="23">
        <v>0.98421004314697402</v>
      </c>
      <c r="D25" s="26">
        <v>-5.5497607141578396</v>
      </c>
      <c r="E25" s="26">
        <v>3.4443335297725701</v>
      </c>
      <c r="F25" s="26">
        <v>5.3245992070332697</v>
      </c>
      <c r="G25" s="26"/>
      <c r="H25" s="26">
        <v>1.58675837387463</v>
      </c>
      <c r="I25" s="26">
        <v>0.369065262125367</v>
      </c>
      <c r="J25" s="26">
        <v>95.986398659158496</v>
      </c>
      <c r="K25" s="16">
        <v>13.2974277473659</v>
      </c>
    </row>
    <row r="26" spans="1:11" x14ac:dyDescent="0.2">
      <c r="A26" s="6">
        <v>1928</v>
      </c>
      <c r="B26" s="25" t="s">
        <v>10</v>
      </c>
      <c r="C26" s="23">
        <v>0.48955751399981601</v>
      </c>
      <c r="D26" s="26">
        <v>-4.7742597653685896</v>
      </c>
      <c r="E26" s="26">
        <v>4.0489735047566402</v>
      </c>
      <c r="F26" s="26">
        <v>2.2768488191691101</v>
      </c>
      <c r="G26" s="26"/>
      <c r="H26" s="26">
        <v>5.0481462841804996</v>
      </c>
      <c r="I26" s="26">
        <v>-2.9860540990073599</v>
      </c>
      <c r="J26" s="26">
        <v>86.592791771671102</v>
      </c>
      <c r="K26" s="16">
        <v>8.7514273941962397</v>
      </c>
    </row>
    <row r="27" spans="1:11" x14ac:dyDescent="0.2">
      <c r="A27" s="6">
        <v>1929</v>
      </c>
      <c r="B27" s="25" t="s">
        <v>10</v>
      </c>
      <c r="C27" s="23">
        <v>0.50747039383089998</v>
      </c>
      <c r="D27" s="26">
        <v>1.9012781802341501</v>
      </c>
      <c r="E27" s="26">
        <v>4.4633239924471102</v>
      </c>
      <c r="F27" s="26">
        <v>2.5512842613342501</v>
      </c>
      <c r="G27" s="26"/>
      <c r="H27" s="26">
        <v>5.3165576245596302</v>
      </c>
      <c r="I27" s="26">
        <v>-2.7331513684681799</v>
      </c>
      <c r="J27" s="26">
        <v>82.581843174610796</v>
      </c>
      <c r="K27" s="16">
        <v>6.9149449643886998</v>
      </c>
    </row>
    <row r="28" spans="1:11" x14ac:dyDescent="0.2">
      <c r="A28" s="6">
        <v>1930</v>
      </c>
      <c r="B28" s="25" t="s">
        <v>10</v>
      </c>
      <c r="C28" s="23">
        <v>-0.19105159276599601</v>
      </c>
      <c r="D28" s="26">
        <v>-2.1122793617453</v>
      </c>
      <c r="E28" s="26">
        <v>5.7992471165526096</v>
      </c>
      <c r="F28" s="26">
        <v>2.8829512153076999</v>
      </c>
      <c r="G28" s="26"/>
      <c r="H28" s="26">
        <v>0.475088072471052</v>
      </c>
      <c r="I28" s="26">
        <v>-2.4454905054856</v>
      </c>
      <c r="J28" s="26">
        <v>68.202042612711395</v>
      </c>
      <c r="K28" s="16">
        <v>10.3392783565836</v>
      </c>
    </row>
    <row r="29" spans="1:11" x14ac:dyDescent="0.2">
      <c r="A29" s="6">
        <v>1931</v>
      </c>
      <c r="B29" s="25" t="s">
        <v>10</v>
      </c>
      <c r="C29" s="23">
        <v>-1.88859818231892</v>
      </c>
      <c r="D29" s="26">
        <v>-15.9663925719946</v>
      </c>
      <c r="E29" s="26">
        <v>10.0717764922366</v>
      </c>
      <c r="F29" s="26">
        <v>2.0355111187726198</v>
      </c>
      <c r="G29" s="26"/>
      <c r="H29" s="26">
        <v>-3.9872504613319899</v>
      </c>
      <c r="I29" s="26">
        <v>-2.51415381006706</v>
      </c>
      <c r="J29" s="26">
        <v>60.593973448446299</v>
      </c>
      <c r="K29" s="16">
        <v>3.17982223791864</v>
      </c>
    </row>
    <row r="30" spans="1:11" x14ac:dyDescent="0.2">
      <c r="A30" s="6">
        <v>1932</v>
      </c>
      <c r="B30" s="25" t="s">
        <v>10</v>
      </c>
      <c r="C30" s="23">
        <v>-1.35185440190948</v>
      </c>
      <c r="D30" s="26">
        <v>-2.5465742144144401</v>
      </c>
      <c r="E30" s="26">
        <v>11.0033073953359</v>
      </c>
      <c r="F30" s="26">
        <v>6.0410274090674001</v>
      </c>
      <c r="G30" s="26"/>
      <c r="H30" s="26">
        <v>4.21607112900519</v>
      </c>
      <c r="I30" s="26">
        <v>5.9760531394267902E-2</v>
      </c>
      <c r="J30" s="26">
        <v>50.691039754982903</v>
      </c>
      <c r="K30" s="16">
        <v>13.9039378421331</v>
      </c>
    </row>
    <row r="31" spans="1:11" x14ac:dyDescent="0.2">
      <c r="A31" s="6">
        <v>1933</v>
      </c>
      <c r="B31" s="25" t="s">
        <v>10</v>
      </c>
      <c r="C31" s="23">
        <v>1.2409345451207101</v>
      </c>
      <c r="D31" s="26">
        <v>5.7999069112434398</v>
      </c>
      <c r="E31" s="26">
        <v>8.5501100460630006</v>
      </c>
      <c r="F31" s="26">
        <v>3.1415273228753602</v>
      </c>
      <c r="G31" s="26"/>
      <c r="H31" s="26">
        <v>9.2398367164345903</v>
      </c>
      <c r="I31" s="26">
        <v>-2.1166743077693999</v>
      </c>
      <c r="J31" s="26">
        <v>44.014807133469098</v>
      </c>
      <c r="K31" s="16">
        <v>-43.374536464771303</v>
      </c>
    </row>
    <row r="32" spans="1:11" x14ac:dyDescent="0.2">
      <c r="A32" s="6">
        <v>1934</v>
      </c>
      <c r="B32" s="25" t="s">
        <v>10</v>
      </c>
      <c r="C32" s="23">
        <v>2.9095634811346698</v>
      </c>
      <c r="D32" s="26">
        <v>2.7899177715983701</v>
      </c>
      <c r="E32" s="26">
        <v>1.7258830745547</v>
      </c>
      <c r="F32" s="26">
        <v>2.3988967419410399</v>
      </c>
      <c r="G32" s="26"/>
      <c r="H32" s="26">
        <v>5.5301683162780204</v>
      </c>
      <c r="I32" s="26">
        <v>-2.2563465577720598</v>
      </c>
      <c r="J32" s="26">
        <v>76.248537976438797</v>
      </c>
      <c r="K32" s="16">
        <v>-25.643534051444998</v>
      </c>
    </row>
    <row r="33" spans="1:11" x14ac:dyDescent="0.2">
      <c r="A33" s="6">
        <v>1935</v>
      </c>
      <c r="B33" s="25" t="s">
        <v>10</v>
      </c>
      <c r="C33" s="23">
        <v>1.5912397870191799</v>
      </c>
      <c r="D33" s="26">
        <v>1.50242866178945</v>
      </c>
      <c r="E33" s="26">
        <v>-2.38017006025472</v>
      </c>
      <c r="F33" s="26">
        <v>2.28029650060334</v>
      </c>
      <c r="G33" s="26"/>
      <c r="H33" s="26">
        <v>2.43784599899345</v>
      </c>
      <c r="I33" s="26">
        <v>-2.2188163043362299</v>
      </c>
      <c r="J33" s="26">
        <v>64.599134240893207</v>
      </c>
      <c r="K33" s="16">
        <v>-27.480016481252498</v>
      </c>
    </row>
    <row r="34" spans="1:11" ht="16" thickBot="1" x14ac:dyDescent="0.25">
      <c r="A34" s="7">
        <v>1936</v>
      </c>
      <c r="B34" s="8" t="s">
        <v>10</v>
      </c>
      <c r="C34" s="24">
        <v>0.72266593225006803</v>
      </c>
      <c r="D34" s="17">
        <v>2.4458474060459898</v>
      </c>
      <c r="E34" s="17">
        <v>-2.5195857938350099</v>
      </c>
      <c r="F34" s="17">
        <v>2.2685743837269401</v>
      </c>
      <c r="G34" s="17"/>
      <c r="H34" s="17">
        <v>4.6220432813286303</v>
      </c>
      <c r="I34" s="17">
        <v>-2.1458881982279698</v>
      </c>
      <c r="J34" s="17">
        <v>70.081632160900895</v>
      </c>
      <c r="K34" s="18">
        <v>-23.464241568073401</v>
      </c>
    </row>
    <row r="35" spans="1:11" x14ac:dyDescent="0.2">
      <c r="A35" s="6">
        <v>1926</v>
      </c>
      <c r="B35" s="25" t="s">
        <v>11</v>
      </c>
      <c r="C35" s="23">
        <v>1.3571351896777499</v>
      </c>
      <c r="D35" s="26">
        <v>23.5761931720284</v>
      </c>
      <c r="E35" s="26">
        <v>-36.297961446079903</v>
      </c>
      <c r="F35" s="26">
        <v>4.3754940711462398</v>
      </c>
      <c r="G35" s="26"/>
      <c r="H35" s="26">
        <v>3.17246003565932</v>
      </c>
      <c r="I35" s="26">
        <v>-0.73362861483789299</v>
      </c>
      <c r="J35" s="26">
        <v>33.1099595756803</v>
      </c>
      <c r="K35" s="16">
        <v>-34.531227217496898</v>
      </c>
    </row>
    <row r="36" spans="1:11" x14ac:dyDescent="0.2">
      <c r="A36" s="6">
        <v>1927</v>
      </c>
      <c r="B36" s="25" t="s">
        <v>11</v>
      </c>
      <c r="C36" s="23">
        <v>0.65794671418450401</v>
      </c>
      <c r="D36" s="26">
        <v>35.240849681246402</v>
      </c>
      <c r="E36" s="26">
        <v>-29.869844593623601</v>
      </c>
      <c r="F36" s="26">
        <v>1.9565217391304299</v>
      </c>
      <c r="G36" s="26"/>
      <c r="H36" s="26">
        <v>1.63179469986742</v>
      </c>
      <c r="I36" s="26">
        <v>1.91540699920171</v>
      </c>
      <c r="J36" s="26">
        <v>46.083724463495997</v>
      </c>
      <c r="K36" s="16">
        <v>-13.427946537059499</v>
      </c>
    </row>
    <row r="37" spans="1:11" x14ac:dyDescent="0.2">
      <c r="A37" s="6">
        <v>1928</v>
      </c>
      <c r="B37" s="25" t="s">
        <v>11</v>
      </c>
      <c r="C37" s="23">
        <v>0.79132226969235098</v>
      </c>
      <c r="D37" s="26">
        <v>-16.011273291161</v>
      </c>
      <c r="E37" s="26">
        <v>-10.457391554269</v>
      </c>
      <c r="F37" s="26">
        <v>2.7747035573122498</v>
      </c>
      <c r="G37" s="26"/>
      <c r="H37" s="26">
        <v>3.6556894896450798</v>
      </c>
      <c r="I37" s="26">
        <v>-1.4591970746530001</v>
      </c>
      <c r="J37" s="26">
        <v>68.664912233104502</v>
      </c>
      <c r="K37" s="16">
        <v>-17.681652490886901</v>
      </c>
    </row>
    <row r="38" spans="1:11" x14ac:dyDescent="0.2">
      <c r="A38" s="6">
        <v>1929</v>
      </c>
      <c r="B38" s="25" t="s">
        <v>11</v>
      </c>
      <c r="C38" s="23">
        <v>2.08487730522338</v>
      </c>
      <c r="D38" s="26">
        <v>13.770645137470099</v>
      </c>
      <c r="E38" s="26">
        <v>-10.8416990002258</v>
      </c>
      <c r="F38" s="26">
        <v>3.3794466403161998</v>
      </c>
      <c r="G38" s="26"/>
      <c r="H38" s="26">
        <v>8.0088691120220599</v>
      </c>
      <c r="I38" s="26">
        <v>-0.91007648134318497</v>
      </c>
      <c r="J38" s="26">
        <v>99.922407010499398</v>
      </c>
      <c r="K38" s="16">
        <v>-8.4782503037666803</v>
      </c>
    </row>
    <row r="39" spans="1:11" x14ac:dyDescent="0.2">
      <c r="A39" s="6">
        <v>1930</v>
      </c>
      <c r="B39" s="25" t="s">
        <v>11</v>
      </c>
      <c r="C39" s="23">
        <v>2.3456922647545002</v>
      </c>
      <c r="D39" s="26">
        <v>2.57981145543607</v>
      </c>
      <c r="E39" s="26">
        <v>-5.1082917616143897</v>
      </c>
      <c r="F39" s="26">
        <v>1.8498023715415</v>
      </c>
      <c r="G39" s="26"/>
      <c r="H39" s="26">
        <v>5.6142088660642102</v>
      </c>
      <c r="I39" s="26">
        <v>-0.31313573507068698</v>
      </c>
      <c r="J39" s="26">
        <v>86.359369489134195</v>
      </c>
      <c r="K39" s="16">
        <v>-8.6260024301336298</v>
      </c>
    </row>
    <row r="40" spans="1:11" x14ac:dyDescent="0.2">
      <c r="A40" s="6">
        <v>1931</v>
      </c>
      <c r="B40" s="25" t="s">
        <v>11</v>
      </c>
      <c r="C40" s="23">
        <v>0.49759548294295702</v>
      </c>
      <c r="D40" s="26">
        <v>6.0499175425210003</v>
      </c>
      <c r="E40" s="26">
        <v>-0.88255219560264198</v>
      </c>
      <c r="F40" s="26">
        <v>1.0671936758893199</v>
      </c>
      <c r="G40" s="26"/>
      <c r="H40" s="26">
        <v>-2.77167370201611</v>
      </c>
      <c r="I40" s="26">
        <v>-1.1047562640022599</v>
      </c>
      <c r="J40" s="26">
        <v>70.885265471119595</v>
      </c>
      <c r="K40" s="16">
        <v>2.69258809234509</v>
      </c>
    </row>
    <row r="41" spans="1:11" x14ac:dyDescent="0.2">
      <c r="A41" s="6">
        <v>1932</v>
      </c>
      <c r="B41" s="25" t="s">
        <v>11</v>
      </c>
      <c r="C41" s="23">
        <v>-1.04911011399986</v>
      </c>
      <c r="D41" s="26">
        <v>-11.945011937873799</v>
      </c>
      <c r="E41" s="26">
        <v>9.3426536100675701</v>
      </c>
      <c r="F41" s="26">
        <v>0.56916996047430801</v>
      </c>
      <c r="G41" s="26"/>
      <c r="H41" s="26">
        <v>-5.0154676094542898</v>
      </c>
      <c r="I41" s="26">
        <v>-1.79478793809388</v>
      </c>
      <c r="J41" s="26">
        <v>53.483816706910098</v>
      </c>
      <c r="K41" s="16">
        <v>8.7893074119076502</v>
      </c>
    </row>
    <row r="42" spans="1:11" x14ac:dyDescent="0.2">
      <c r="A42" s="6">
        <v>1933</v>
      </c>
      <c r="B42" s="25" t="s">
        <v>11</v>
      </c>
      <c r="C42" s="23">
        <v>-1.83373408617617</v>
      </c>
      <c r="D42" s="26">
        <v>-11.1610505328968</v>
      </c>
      <c r="E42" s="26">
        <v>1.0012112253905601</v>
      </c>
      <c r="F42" s="26">
        <v>1.35177865612648</v>
      </c>
      <c r="G42" s="26"/>
      <c r="H42" s="26">
        <v>-3.4821170052269799</v>
      </c>
      <c r="I42" s="26">
        <v>-2.9668065820307401</v>
      </c>
      <c r="J42" s="26">
        <v>64.940448737079095</v>
      </c>
      <c r="K42" s="16">
        <v>4.5044957472661302</v>
      </c>
    </row>
    <row r="43" spans="1:11" x14ac:dyDescent="0.2">
      <c r="A43" s="6">
        <v>1934</v>
      </c>
      <c r="B43" s="25" t="s">
        <v>11</v>
      </c>
      <c r="C43" s="23">
        <v>-1.5740462440155401</v>
      </c>
      <c r="D43" s="26">
        <v>0.64316833632807402</v>
      </c>
      <c r="E43" s="26">
        <v>0.55285253844101501</v>
      </c>
      <c r="F43" s="26">
        <v>2.8814229249011798</v>
      </c>
      <c r="G43" s="26"/>
      <c r="H43" s="26">
        <v>-0.25494887307416197</v>
      </c>
      <c r="I43" s="26">
        <v>-2.5665542193495199</v>
      </c>
      <c r="J43" s="26">
        <v>64.940448737079095</v>
      </c>
      <c r="K43" s="16">
        <v>30.7829890643985</v>
      </c>
    </row>
    <row r="44" spans="1:11" x14ac:dyDescent="0.2">
      <c r="A44" s="6">
        <v>1935</v>
      </c>
      <c r="B44" s="25" t="s">
        <v>11</v>
      </c>
      <c r="C44" s="23">
        <v>-1.70682067025912</v>
      </c>
      <c r="D44" s="26">
        <v>-11.5659536761266</v>
      </c>
      <c r="E44" s="26">
        <v>0.55285253844101501</v>
      </c>
      <c r="F44" s="26">
        <v>3.4861660079051302</v>
      </c>
      <c r="G44" s="26"/>
      <c r="H44" s="26">
        <v>-3.4953749561878</v>
      </c>
      <c r="I44" s="26">
        <v>-2.3361058893209301</v>
      </c>
      <c r="J44" s="26">
        <v>59.552348137496899</v>
      </c>
      <c r="K44" s="16">
        <v>17.147023086269702</v>
      </c>
    </row>
    <row r="45" spans="1:11" x14ac:dyDescent="0.2">
      <c r="A45" s="6">
        <v>1936</v>
      </c>
      <c r="B45" s="25" t="s">
        <v>11</v>
      </c>
      <c r="C45" s="23">
        <v>-1.48688250069773</v>
      </c>
      <c r="D45" s="26">
        <v>-1.2590149408028899</v>
      </c>
      <c r="E45" s="26">
        <v>9.7088953213853397</v>
      </c>
      <c r="F45" s="26">
        <v>5.7272727272727204</v>
      </c>
      <c r="G45" s="26"/>
      <c r="H45" s="26">
        <v>-1.8289876716294999</v>
      </c>
      <c r="I45" s="26">
        <v>-4.8154919784717899E-2</v>
      </c>
      <c r="J45" s="26">
        <v>49.3393743726091</v>
      </c>
      <c r="K45" s="16">
        <v>24.274119076549201</v>
      </c>
    </row>
    <row r="46" spans="1:11" x14ac:dyDescent="0.2">
      <c r="A46" s="6">
        <v>1937</v>
      </c>
      <c r="B46" s="25" t="s">
        <v>11</v>
      </c>
      <c r="C46" s="23">
        <v>-0.12509929367311301</v>
      </c>
      <c r="D46" s="26">
        <v>26.238215964752499</v>
      </c>
      <c r="E46" s="26">
        <v>-10.6002750918683</v>
      </c>
      <c r="F46" s="26">
        <v>2.09881422924901</v>
      </c>
      <c r="G46" s="26"/>
      <c r="H46" s="26">
        <v>0.79837247222688001</v>
      </c>
      <c r="I46" s="26">
        <v>-1.1481729456905101</v>
      </c>
      <c r="J46" s="26">
        <v>57.481754795301001</v>
      </c>
      <c r="K46" s="16">
        <v>6.4933171324423098</v>
      </c>
    </row>
    <row r="47" spans="1:11" ht="16" thickBot="1" x14ac:dyDescent="0.25">
      <c r="A47" s="6">
        <v>1938</v>
      </c>
      <c r="B47" s="25" t="s">
        <v>11</v>
      </c>
      <c r="C47" s="23">
        <v>0.498572317997382</v>
      </c>
      <c r="D47" s="26">
        <v>17.640485391488401</v>
      </c>
      <c r="E47" s="26">
        <v>-20.695736076040301</v>
      </c>
      <c r="F47" s="26">
        <v>2.7747035573122498</v>
      </c>
      <c r="G47" s="26"/>
      <c r="H47" s="26">
        <v>-0.23391901982596799</v>
      </c>
      <c r="I47" s="26">
        <v>-0.916643061313829</v>
      </c>
      <c r="J47" s="26">
        <v>31.853278710762599</v>
      </c>
      <c r="K47" s="16">
        <v>-8.6376670716889201</v>
      </c>
    </row>
    <row r="48" spans="1:11" x14ac:dyDescent="0.2">
      <c r="A48" s="4">
        <v>1941</v>
      </c>
      <c r="B48" s="5" t="s">
        <v>8</v>
      </c>
      <c r="C48" s="22">
        <v>-0.134366265319286</v>
      </c>
      <c r="D48" s="13">
        <v>13.945967213114701</v>
      </c>
      <c r="E48" s="13">
        <v>-13.201350445597299</v>
      </c>
      <c r="F48" s="13">
        <v>0.95958777708632903</v>
      </c>
      <c r="G48" s="13">
        <v>11.8919590189382</v>
      </c>
      <c r="H48" s="13">
        <v>11.3529777962232</v>
      </c>
      <c r="I48" s="13">
        <v>-2.0925043256831302</v>
      </c>
      <c r="J48" s="13">
        <v>59.936182701029701</v>
      </c>
      <c r="K48" s="14">
        <v>10.287413280475601</v>
      </c>
    </row>
    <row r="49" spans="1:11" x14ac:dyDescent="0.2">
      <c r="A49" s="6">
        <v>1942</v>
      </c>
      <c r="B49" s="25" t="s">
        <v>8</v>
      </c>
      <c r="C49" s="23">
        <v>0.60757095248333703</v>
      </c>
      <c r="D49" s="26">
        <v>7.4575737704918001</v>
      </c>
      <c r="E49" s="26">
        <v>-8.4507112181317297</v>
      </c>
      <c r="F49" s="26">
        <v>0.952753159803438</v>
      </c>
      <c r="G49" s="26">
        <v>12.441477801924799</v>
      </c>
      <c r="H49" s="26">
        <v>2.6063498651172399</v>
      </c>
      <c r="I49" s="26">
        <v>-1.5402125297900799</v>
      </c>
      <c r="J49" s="26">
        <v>75.843124699855906</v>
      </c>
      <c r="K49" s="16">
        <v>12.3785926660059</v>
      </c>
    </row>
    <row r="50" spans="1:11" x14ac:dyDescent="0.2">
      <c r="A50" s="6">
        <v>1943</v>
      </c>
      <c r="B50" s="25" t="s">
        <v>8</v>
      </c>
      <c r="C50" s="23">
        <v>1.0967399483981899</v>
      </c>
      <c r="D50" s="26">
        <v>5.5687868852458902</v>
      </c>
      <c r="E50" s="26">
        <v>7.6533525308442796</v>
      </c>
      <c r="F50" s="26">
        <v>0.952753159803438</v>
      </c>
      <c r="G50" s="26">
        <v>13.7926109903756</v>
      </c>
      <c r="H50" s="26">
        <v>2.5188490004841899</v>
      </c>
      <c r="I50" s="26">
        <v>-1.4436600176291901</v>
      </c>
      <c r="J50" s="26">
        <v>94.511071981217597</v>
      </c>
      <c r="K50" s="16">
        <v>9.8529897588371096</v>
      </c>
    </row>
    <row r="51" spans="1:11" x14ac:dyDescent="0.2">
      <c r="A51" s="6">
        <v>1944</v>
      </c>
      <c r="B51" s="25" t="s">
        <v>8</v>
      </c>
      <c r="C51" s="23">
        <v>1.1591861965168699</v>
      </c>
      <c r="D51" s="26">
        <v>4.4414426229508104</v>
      </c>
      <c r="E51" s="26">
        <v>21.210436164138699</v>
      </c>
      <c r="F51" s="26">
        <v>0.95692152528915697</v>
      </c>
      <c r="G51" s="26">
        <v>14.5625582117354</v>
      </c>
      <c r="H51" s="26">
        <v>-0.171543197067165</v>
      </c>
      <c r="I51" s="26">
        <v>-1.61836864614279</v>
      </c>
      <c r="J51" s="26">
        <v>104.77989434928701</v>
      </c>
      <c r="K51" s="16">
        <v>9.9768747935249191</v>
      </c>
    </row>
    <row r="52" spans="1:11" x14ac:dyDescent="0.2">
      <c r="A52" s="6">
        <v>1945</v>
      </c>
      <c r="B52" s="25" t="s">
        <v>8</v>
      </c>
      <c r="C52" s="23">
        <v>0.51174478606751195</v>
      </c>
      <c r="D52" s="26">
        <v>4.0220327868852399</v>
      </c>
      <c r="E52" s="26">
        <v>26.4168507807263</v>
      </c>
      <c r="F52" s="26">
        <v>0.95087551769275402</v>
      </c>
      <c r="G52" s="26">
        <v>16.0376694608299</v>
      </c>
      <c r="H52" s="26">
        <v>-7.1664245694127402</v>
      </c>
      <c r="I52" s="26">
        <v>-1.61836864614279</v>
      </c>
      <c r="J52" s="26">
        <v>109.992849901285</v>
      </c>
      <c r="K52" s="16">
        <v>6.8913115295671998</v>
      </c>
    </row>
    <row r="53" spans="1:11" x14ac:dyDescent="0.2">
      <c r="A53" s="6">
        <v>1946</v>
      </c>
      <c r="B53" s="25" t="s">
        <v>8</v>
      </c>
      <c r="C53" s="23">
        <v>2.3623951838314498E-2</v>
      </c>
      <c r="D53" s="26">
        <v>3.94649180327868</v>
      </c>
      <c r="E53" s="26">
        <v>31.504108432837601</v>
      </c>
      <c r="F53" s="26">
        <v>0.46527971502757398</v>
      </c>
      <c r="G53" s="26">
        <v>16.557797785366802</v>
      </c>
      <c r="H53" s="26">
        <v>-4.3193608632496199</v>
      </c>
      <c r="I53" s="26">
        <v>-2.0090349645783601</v>
      </c>
      <c r="J53" s="26">
        <v>115.151165892961</v>
      </c>
      <c r="K53" s="16">
        <v>3.6389164188965801</v>
      </c>
    </row>
    <row r="54" spans="1:11" x14ac:dyDescent="0.2">
      <c r="A54" s="6">
        <v>1947</v>
      </c>
      <c r="B54" s="25" t="s">
        <v>8</v>
      </c>
      <c r="C54" s="23">
        <v>-0.158232100623521</v>
      </c>
      <c r="D54" s="26">
        <v>3.9887213114754001</v>
      </c>
      <c r="E54" s="26">
        <v>28.569123451580001</v>
      </c>
      <c r="F54" s="26">
        <v>0.458182227849187</v>
      </c>
      <c r="G54" s="26">
        <v>17.105453792817901</v>
      </c>
      <c r="H54" s="26">
        <v>-2.1397938714809399</v>
      </c>
      <c r="I54" s="26">
        <v>-1.5224445822859101</v>
      </c>
      <c r="J54" s="26">
        <v>116.47959020329699</v>
      </c>
      <c r="K54" s="16">
        <v>-4.1328047571853501</v>
      </c>
    </row>
    <row r="55" spans="1:11" x14ac:dyDescent="0.2">
      <c r="A55" s="6">
        <v>1948</v>
      </c>
      <c r="B55" s="25" t="s">
        <v>8</v>
      </c>
      <c r="C55" s="23">
        <v>-3.3863685228982997E-2</v>
      </c>
      <c r="D55" s="26">
        <v>7.5567213114754104</v>
      </c>
      <c r="E55" s="26">
        <v>15.9466772583968</v>
      </c>
      <c r="F55" s="26">
        <v>0.44898178150683399</v>
      </c>
      <c r="G55" s="26">
        <v>15.7315533478215</v>
      </c>
      <c r="H55" s="26">
        <v>0.35622881649027899</v>
      </c>
      <c r="I55" s="26">
        <v>-2.1785446116679101</v>
      </c>
      <c r="J55" s="26">
        <v>119.390854276719</v>
      </c>
      <c r="K55" s="16">
        <v>-1.33961017509085</v>
      </c>
    </row>
    <row r="56" spans="1:11" x14ac:dyDescent="0.2">
      <c r="A56" s="6">
        <v>1949</v>
      </c>
      <c r="B56" s="25" t="s">
        <v>8</v>
      </c>
      <c r="C56" s="23">
        <v>-0.19661094388303599</v>
      </c>
      <c r="D56" s="26">
        <v>3.6915409836065498</v>
      </c>
      <c r="E56" s="26">
        <v>-4.3688404537894296</v>
      </c>
      <c r="F56" s="26">
        <v>0.44898178150683399</v>
      </c>
      <c r="G56" s="26">
        <v>14.2262237400393</v>
      </c>
      <c r="H56" s="26">
        <v>2.5316455696202498</v>
      </c>
      <c r="I56" s="26">
        <v>-1.70937938689562</v>
      </c>
      <c r="J56" s="26">
        <v>106.08612133824199</v>
      </c>
      <c r="K56" s="16">
        <v>2.06640237859264</v>
      </c>
    </row>
    <row r="57" spans="1:11" x14ac:dyDescent="0.2">
      <c r="A57" s="6">
        <v>1950</v>
      </c>
      <c r="B57" s="25" t="s">
        <v>8</v>
      </c>
      <c r="C57" s="23">
        <v>-0.285583745431091</v>
      </c>
      <c r="D57" s="26">
        <v>3.2375081967213002</v>
      </c>
      <c r="E57" s="26">
        <v>-8.8424397388476397</v>
      </c>
      <c r="F57" s="26">
        <v>0.437415506105018</v>
      </c>
      <c r="G57" s="26">
        <v>13.7205836696678</v>
      </c>
      <c r="H57" s="26">
        <v>3.4287888220239302</v>
      </c>
      <c r="I57" s="26">
        <v>-2.1965982174920802</v>
      </c>
      <c r="J57" s="26">
        <v>75.332586308094506</v>
      </c>
      <c r="K57" s="16">
        <v>-20.459200528576101</v>
      </c>
    </row>
    <row r="58" spans="1:11" x14ac:dyDescent="0.2">
      <c r="A58" s="6">
        <v>1951</v>
      </c>
      <c r="B58" s="25" t="s">
        <v>8</v>
      </c>
      <c r="C58" s="23">
        <v>-1.89475381638359E-3</v>
      </c>
      <c r="D58" s="26">
        <v>7.2060327868852401</v>
      </c>
      <c r="E58" s="26">
        <v>-11.792319340664699</v>
      </c>
      <c r="F58" s="26">
        <v>0.47906160811999698</v>
      </c>
      <c r="G58" s="26">
        <v>12.8779882024216</v>
      </c>
      <c r="H58" s="26">
        <v>3.74593622466625</v>
      </c>
      <c r="I58" s="26">
        <v>-1.9145391923215</v>
      </c>
      <c r="J58" s="26">
        <v>89.012966223787402</v>
      </c>
      <c r="K58" s="16">
        <v>-16.841757515692102</v>
      </c>
    </row>
    <row r="59" spans="1:11" x14ac:dyDescent="0.2">
      <c r="A59" s="6">
        <v>1952</v>
      </c>
      <c r="B59" s="25" t="s">
        <v>8</v>
      </c>
      <c r="C59" s="23">
        <v>-0.45961889916146997</v>
      </c>
      <c r="D59" s="26">
        <v>10.317377049180299</v>
      </c>
      <c r="E59" s="26">
        <v>-13.2184792592408</v>
      </c>
      <c r="F59" s="26">
        <v>2.4187785669835402</v>
      </c>
      <c r="G59" s="26">
        <v>12.303839387353801</v>
      </c>
      <c r="H59" s="26">
        <v>1.1471951303866701</v>
      </c>
      <c r="I59" s="26">
        <v>-1.532328360158</v>
      </c>
      <c r="J59" s="26">
        <v>70.056453764473503</v>
      </c>
      <c r="K59" s="16">
        <v>-15.1139742319127</v>
      </c>
    </row>
    <row r="60" spans="1:11" ht="16" thickBot="1" x14ac:dyDescent="0.25">
      <c r="A60" s="7">
        <v>1953</v>
      </c>
      <c r="B60" s="8" t="s">
        <v>8</v>
      </c>
      <c r="C60" s="24">
        <v>-0.786725972909051</v>
      </c>
      <c r="D60" s="17">
        <v>5.5887213114754104</v>
      </c>
      <c r="E60" s="17">
        <v>-14.607402626418001</v>
      </c>
      <c r="F60" s="17">
        <v>2.4266271110062001</v>
      </c>
      <c r="G60" s="17">
        <v>11.938942357445899</v>
      </c>
      <c r="H60" s="17">
        <v>3.50591409006018</v>
      </c>
      <c r="I60" s="17">
        <v>-1.1422904900264399</v>
      </c>
      <c r="J60" s="17">
        <v>80.832399551784803</v>
      </c>
      <c r="K60" s="18">
        <v>-10.181698050875401</v>
      </c>
    </row>
    <row r="61" spans="1:11" x14ac:dyDescent="0.2">
      <c r="A61" s="6">
        <v>1943</v>
      </c>
      <c r="B61" s="25" t="s">
        <v>9</v>
      </c>
      <c r="C61" s="23">
        <v>0.47611383028373699</v>
      </c>
      <c r="D61" s="26">
        <v>5.20765690527403</v>
      </c>
      <c r="E61" s="26">
        <v>-1.09067967439641</v>
      </c>
      <c r="F61" s="26">
        <v>0.27005676983451399</v>
      </c>
      <c r="G61" s="26">
        <v>13.946883495503901</v>
      </c>
      <c r="H61" s="26">
        <v>12.0499229863187</v>
      </c>
      <c r="I61" s="26">
        <v>-1.6826902162091599</v>
      </c>
      <c r="J61" s="26">
        <v>89.801860246990699</v>
      </c>
      <c r="K61" s="16">
        <v>-11.0212998361551</v>
      </c>
    </row>
    <row r="62" spans="1:11" x14ac:dyDescent="0.2">
      <c r="A62" s="6">
        <v>1944</v>
      </c>
      <c r="B62" s="25" t="s">
        <v>9</v>
      </c>
      <c r="C62" s="23">
        <v>0.67344997187750499</v>
      </c>
      <c r="D62" s="26">
        <v>3.4597868275273602</v>
      </c>
      <c r="E62" s="26">
        <v>12.544970532568</v>
      </c>
      <c r="F62" s="26">
        <v>0.26721192801533999</v>
      </c>
      <c r="G62" s="26">
        <v>16.2667142312376</v>
      </c>
      <c r="H62" s="26">
        <v>2.9423756455558499</v>
      </c>
      <c r="I62" s="26">
        <v>-1.66937834428155</v>
      </c>
      <c r="J62" s="26">
        <v>102.48163201500699</v>
      </c>
      <c r="K62" s="16">
        <v>-17.344620425996698</v>
      </c>
    </row>
    <row r="63" spans="1:11" x14ac:dyDescent="0.2">
      <c r="A63" s="6">
        <v>1945</v>
      </c>
      <c r="B63" s="25" t="s">
        <v>9</v>
      </c>
      <c r="C63" s="23">
        <v>0.342083218649401</v>
      </c>
      <c r="D63" s="26">
        <v>3.6124442735433</v>
      </c>
      <c r="E63" s="26">
        <v>30.313139550987099</v>
      </c>
      <c r="F63" s="26">
        <v>0.26721192801533999</v>
      </c>
      <c r="G63" s="26">
        <v>16.699592830871001</v>
      </c>
      <c r="H63" s="26">
        <v>-6.8881942556854199</v>
      </c>
      <c r="I63" s="26">
        <v>-1.2344368556140399</v>
      </c>
      <c r="J63" s="26">
        <v>137.290917617633</v>
      </c>
      <c r="K63" s="16">
        <v>-27.5084653194975</v>
      </c>
    </row>
    <row r="64" spans="1:11" x14ac:dyDescent="0.2">
      <c r="A64" s="6">
        <v>1946</v>
      </c>
      <c r="B64" s="25" t="s">
        <v>9</v>
      </c>
      <c r="C64" s="23">
        <v>3.0821057166448E-2</v>
      </c>
      <c r="D64" s="26">
        <v>13.7464761652987</v>
      </c>
      <c r="E64" s="26">
        <v>15.979503593026299</v>
      </c>
      <c r="F64" s="26">
        <v>0.29454272977812501</v>
      </c>
      <c r="G64" s="26">
        <v>12.9870222528385</v>
      </c>
      <c r="H64" s="26">
        <v>-4.63350548156202</v>
      </c>
      <c r="I64" s="26">
        <v>-1.4197154913646799</v>
      </c>
      <c r="J64" s="26">
        <v>110.377911521025</v>
      </c>
      <c r="K64" s="16">
        <v>-17.853631895139198</v>
      </c>
    </row>
    <row r="65" spans="1:11" x14ac:dyDescent="0.2">
      <c r="A65" s="6">
        <v>1947</v>
      </c>
      <c r="B65" s="25" t="s">
        <v>9</v>
      </c>
      <c r="C65" s="23">
        <v>0.16084271747064999</v>
      </c>
      <c r="D65" s="26">
        <v>10.6512214758648</v>
      </c>
      <c r="E65" s="26">
        <v>2.8738055303368499</v>
      </c>
      <c r="F65" s="26">
        <v>0.69454780985280296</v>
      </c>
      <c r="G65" s="26">
        <v>12.5218161465316</v>
      </c>
      <c r="H65" s="26">
        <v>-0.14632599438253599</v>
      </c>
      <c r="I65" s="26">
        <v>-1.1709226954365499</v>
      </c>
      <c r="J65" s="26">
        <v>112.687587931843</v>
      </c>
      <c r="K65" s="16">
        <v>-12.054614964500299</v>
      </c>
    </row>
    <row r="66" spans="1:11" x14ac:dyDescent="0.2">
      <c r="A66" s="6">
        <v>1948</v>
      </c>
      <c r="B66" s="25" t="s">
        <v>9</v>
      </c>
      <c r="C66" s="23">
        <v>4.8143317018297403E-2</v>
      </c>
      <c r="D66" s="26">
        <v>4.9415638255686698</v>
      </c>
      <c r="E66" s="26">
        <v>-8.8950097711850002</v>
      </c>
      <c r="F66" s="26">
        <v>0.97039586481921103</v>
      </c>
      <c r="G66" s="26">
        <v>11.321269974044499</v>
      </c>
      <c r="H66" s="26">
        <v>-0.81861012956420598</v>
      </c>
      <c r="I66" s="26">
        <v>-0.98425196850393604</v>
      </c>
      <c r="J66" s="26">
        <v>112.13068625918299</v>
      </c>
      <c r="K66" s="16">
        <v>-1.3096668487165699</v>
      </c>
    </row>
    <row r="67" spans="1:11" x14ac:dyDescent="0.2">
      <c r="A67" s="6">
        <v>1949</v>
      </c>
      <c r="B67" s="25" t="s">
        <v>9</v>
      </c>
      <c r="C67" s="23">
        <v>-9.5490827280016705E-2</v>
      </c>
      <c r="D67" s="26">
        <v>1.53138105480718</v>
      </c>
      <c r="E67" s="26">
        <v>-8.3041223629341196</v>
      </c>
      <c r="F67" s="26">
        <v>0.99914908749158404</v>
      </c>
      <c r="G67" s="26">
        <v>11.232037198774799</v>
      </c>
      <c r="H67" s="26">
        <v>0.60840808190631801</v>
      </c>
      <c r="I67" s="26">
        <v>-0.78496541523469698</v>
      </c>
      <c r="J67" s="26">
        <v>112.13068625918299</v>
      </c>
      <c r="K67" s="16">
        <v>13.026761332605099</v>
      </c>
    </row>
    <row r="68" spans="1:11" x14ac:dyDescent="0.2">
      <c r="A68" s="6">
        <v>1950</v>
      </c>
      <c r="B68" s="25" t="s">
        <v>9</v>
      </c>
      <c r="C68" s="23">
        <v>0.58567188827591199</v>
      </c>
      <c r="D68" s="26">
        <v>4.8521611651185301</v>
      </c>
      <c r="E68" s="26">
        <v>-6.5462323233877502</v>
      </c>
      <c r="F68" s="26">
        <v>1.2439070854341501</v>
      </c>
      <c r="G68" s="26">
        <v>10.2281131216709</v>
      </c>
      <c r="H68" s="26">
        <v>10.908308417142299</v>
      </c>
      <c r="I68" s="26">
        <v>-0.80893548527428505</v>
      </c>
      <c r="J68" s="26">
        <v>137.98851023917399</v>
      </c>
      <c r="K68" s="16">
        <v>9.1938831239759509</v>
      </c>
    </row>
    <row r="69" spans="1:11" ht="16" thickBot="1" x14ac:dyDescent="0.25">
      <c r="A69" s="6">
        <v>1951</v>
      </c>
      <c r="B69" s="25" t="s">
        <v>9</v>
      </c>
      <c r="C69" s="23">
        <v>0.681587544726732</v>
      </c>
      <c r="D69" s="26">
        <v>6.5906103173553996</v>
      </c>
      <c r="E69" s="26">
        <v>-6.8305968886084898</v>
      </c>
      <c r="F69" s="26">
        <v>1.5817320514611499</v>
      </c>
      <c r="G69" s="26">
        <v>10.1388803464012</v>
      </c>
      <c r="H69" s="26">
        <v>4.7087070761982401</v>
      </c>
      <c r="I69" s="26">
        <v>-0.88284682646713297</v>
      </c>
      <c r="J69" s="26">
        <v>167.2698139753</v>
      </c>
      <c r="K69" s="16">
        <v>5.3599126160567803</v>
      </c>
    </row>
    <row r="70" spans="1:11" x14ac:dyDescent="0.2">
      <c r="A70" s="4">
        <v>1984</v>
      </c>
      <c r="B70" s="5" t="s">
        <v>12</v>
      </c>
      <c r="C70" s="22">
        <v>-0.86622917718324099</v>
      </c>
      <c r="D70" s="13">
        <v>7.2458600952505696</v>
      </c>
      <c r="E70" s="13">
        <v>4.0514791910412802</v>
      </c>
      <c r="F70" s="13">
        <v>7.9501856435643496</v>
      </c>
      <c r="G70" s="13">
        <v>5.3721014243445904</v>
      </c>
      <c r="H70" s="13">
        <v>10.283261802575099</v>
      </c>
      <c r="I70" s="13">
        <v>-4.1709287651760096</v>
      </c>
      <c r="J70" s="13">
        <v>28.125</v>
      </c>
      <c r="K70" s="14">
        <v>-9.8291433146517093</v>
      </c>
    </row>
    <row r="71" spans="1:11" x14ac:dyDescent="0.2">
      <c r="A71" s="6">
        <v>1985</v>
      </c>
      <c r="B71" s="25" t="s">
        <v>12</v>
      </c>
      <c r="C71" s="23">
        <v>0.61534578495709003</v>
      </c>
      <c r="D71" s="26">
        <v>6.0995324856905597</v>
      </c>
      <c r="E71" s="26">
        <v>4.4902222965067704</v>
      </c>
      <c r="F71" s="26">
        <v>10.084622524752399</v>
      </c>
      <c r="G71" s="26">
        <v>5.3721014243445904</v>
      </c>
      <c r="H71" s="26">
        <v>5.3390557939914096</v>
      </c>
      <c r="I71" s="26">
        <v>-4.2791662435995903</v>
      </c>
      <c r="J71" s="26">
        <v>37.5</v>
      </c>
      <c r="K71" s="16">
        <v>-8.1088871096877408</v>
      </c>
    </row>
    <row r="72" spans="1:11" x14ac:dyDescent="0.2">
      <c r="A72" s="6">
        <v>1986</v>
      </c>
      <c r="B72" s="25" t="s">
        <v>12</v>
      </c>
      <c r="C72" s="23">
        <v>1.56042402826855</v>
      </c>
      <c r="D72" s="26">
        <v>9.4082230086948897</v>
      </c>
      <c r="E72" s="26">
        <v>12.571452448604299</v>
      </c>
      <c r="F72" s="26">
        <v>15.1178836633663</v>
      </c>
      <c r="G72" s="26">
        <v>5.5896924241381702</v>
      </c>
      <c r="H72" s="26">
        <v>5.4763948497854003</v>
      </c>
      <c r="I72" s="26">
        <v>0.42946867611436002</v>
      </c>
      <c r="J72" s="26">
        <v>37.5</v>
      </c>
      <c r="K72" s="16">
        <v>-0.67926341072857999</v>
      </c>
    </row>
    <row r="73" spans="1:11" x14ac:dyDescent="0.2">
      <c r="A73" s="6">
        <v>1987</v>
      </c>
      <c r="B73" s="25" t="s">
        <v>12</v>
      </c>
      <c r="C73" s="23">
        <v>2.3843008581524399</v>
      </c>
      <c r="D73" s="26">
        <v>10.768645956219601</v>
      </c>
      <c r="E73" s="26">
        <v>11.6856092261407</v>
      </c>
      <c r="F73" s="26">
        <v>13.8787128712871</v>
      </c>
      <c r="G73" s="26">
        <v>5.5615151723663399</v>
      </c>
      <c r="H73" s="26">
        <v>1.21888412017167</v>
      </c>
      <c r="I73" s="26">
        <v>1.8960560479250299</v>
      </c>
      <c r="J73" s="26">
        <v>58.125</v>
      </c>
      <c r="K73" s="16">
        <v>6.13114491593275</v>
      </c>
    </row>
    <row r="74" spans="1:11" x14ac:dyDescent="0.2">
      <c r="A74" s="6">
        <v>1988</v>
      </c>
      <c r="B74" s="25" t="s">
        <v>12</v>
      </c>
      <c r="C74" s="23">
        <v>1.42958101968702</v>
      </c>
      <c r="D74" s="26">
        <v>7.9456459999126103</v>
      </c>
      <c r="E74" s="26">
        <v>11.096439913087</v>
      </c>
      <c r="F74" s="26">
        <v>12.695235148514801</v>
      </c>
      <c r="G74" s="26">
        <v>5.3235739351819999</v>
      </c>
      <c r="H74" s="26">
        <v>-0.15450643776824</v>
      </c>
      <c r="I74" s="26">
        <v>1.50229906731843</v>
      </c>
      <c r="J74" s="26">
        <v>49.375</v>
      </c>
      <c r="K74" s="16">
        <v>9.7796637309847796</v>
      </c>
    </row>
    <row r="75" spans="1:11" x14ac:dyDescent="0.2">
      <c r="A75" s="6">
        <v>1989</v>
      </c>
      <c r="B75" s="25" t="s">
        <v>12</v>
      </c>
      <c r="C75" s="23">
        <v>-0.35431600201918201</v>
      </c>
      <c r="D75" s="26">
        <v>5.43277843317167</v>
      </c>
      <c r="E75" s="26">
        <v>0.38692963396289298</v>
      </c>
      <c r="F75" s="26">
        <v>10.0943688118811</v>
      </c>
      <c r="G75" s="26">
        <v>4.7286004266152899</v>
      </c>
      <c r="H75" s="26">
        <v>-0.97854077253218397</v>
      </c>
      <c r="I75" s="26">
        <v>0.70320999115185501</v>
      </c>
      <c r="J75" s="26">
        <v>73.749999999999901</v>
      </c>
      <c r="K75" s="16">
        <v>7.4051240992794201</v>
      </c>
    </row>
    <row r="76" spans="1:11" x14ac:dyDescent="0.2">
      <c r="A76" s="6">
        <v>1990</v>
      </c>
      <c r="B76" s="25" t="s">
        <v>12</v>
      </c>
      <c r="C76" s="23">
        <v>-0.90474507824331196</v>
      </c>
      <c r="D76" s="26">
        <v>4.5103333770262504</v>
      </c>
      <c r="E76" s="26">
        <v>0.38692963396289298</v>
      </c>
      <c r="F76" s="26">
        <v>10.381188118811799</v>
      </c>
      <c r="G76" s="26">
        <v>4.17613362691805</v>
      </c>
      <c r="H76" s="26">
        <v>2.0429184549356201</v>
      </c>
      <c r="I76" s="26">
        <v>0.77103610333473604</v>
      </c>
      <c r="J76" s="26">
        <v>95</v>
      </c>
      <c r="K76" s="16">
        <v>7.2206565252201704</v>
      </c>
    </row>
    <row r="77" spans="1:11" x14ac:dyDescent="0.2">
      <c r="A77" s="6">
        <v>1991</v>
      </c>
      <c r="B77" s="25" t="s">
        <v>12</v>
      </c>
      <c r="C77" s="23">
        <v>-1.2606764260474499</v>
      </c>
      <c r="D77" s="26">
        <v>3.9549089002490501</v>
      </c>
      <c r="E77" s="26">
        <v>-3.2316563596857999</v>
      </c>
      <c r="F77" s="26">
        <v>10.381188118811799</v>
      </c>
      <c r="G77" s="26">
        <v>4.1512075965045003</v>
      </c>
      <c r="H77" s="26">
        <v>1.15021459227467</v>
      </c>
      <c r="I77" s="26">
        <v>0.37301460669268099</v>
      </c>
      <c r="J77" s="26">
        <v>80.625</v>
      </c>
      <c r="K77" s="16">
        <v>4.5372297838270503</v>
      </c>
    </row>
    <row r="78" spans="1:11" x14ac:dyDescent="0.2">
      <c r="A78" s="6">
        <v>1992</v>
      </c>
      <c r="B78" s="25" t="s">
        <v>12</v>
      </c>
      <c r="C78" s="23">
        <v>-1.5308934881373</v>
      </c>
      <c r="D78" s="26">
        <v>2.8575173679381298</v>
      </c>
      <c r="E78" s="26">
        <v>-1.4307203743941099</v>
      </c>
      <c r="F78" s="26">
        <v>10.673576732673199</v>
      </c>
      <c r="G78" s="26">
        <v>4.1512075965045003</v>
      </c>
      <c r="H78" s="26">
        <v>3.1416309012875501</v>
      </c>
      <c r="I78" s="26">
        <v>1.4373159658258501</v>
      </c>
      <c r="J78" s="26">
        <v>69.375</v>
      </c>
      <c r="K78" s="16">
        <v>9.6643714971977595</v>
      </c>
    </row>
    <row r="79" spans="1:11" x14ac:dyDescent="0.2">
      <c r="A79" s="6">
        <v>1993</v>
      </c>
      <c r="B79" s="25" t="s">
        <v>12</v>
      </c>
      <c r="C79" s="23">
        <v>-1.24159515396264</v>
      </c>
      <c r="D79" s="26">
        <v>3.4918512692795001</v>
      </c>
      <c r="E79" s="26">
        <v>3.1071368878488901</v>
      </c>
      <c r="F79" s="26">
        <v>8.4876237623762307</v>
      </c>
      <c r="G79" s="26">
        <v>4.97810156196243</v>
      </c>
      <c r="H79" s="26">
        <v>2.9356223175965601</v>
      </c>
      <c r="I79" s="26">
        <v>1.0405129023367801</v>
      </c>
      <c r="J79" s="26">
        <v>69.375</v>
      </c>
      <c r="K79" s="16">
        <v>1.69959967974379</v>
      </c>
    </row>
    <row r="80" spans="1:11" x14ac:dyDescent="0.2">
      <c r="A80" s="6">
        <v>1994</v>
      </c>
      <c r="B80" s="25" t="s">
        <v>12</v>
      </c>
      <c r="C80" s="23">
        <v>-0.87708228167592095</v>
      </c>
      <c r="D80" s="26">
        <v>1.75584392886791</v>
      </c>
      <c r="E80" s="26">
        <v>0.324252047467808</v>
      </c>
      <c r="F80" s="26">
        <v>5.2003403465346496</v>
      </c>
      <c r="G80" s="26">
        <v>5.4674705841877103</v>
      </c>
      <c r="H80" s="26">
        <v>4.4463519313304696</v>
      </c>
      <c r="I80" s="26">
        <v>-1.79559333343003</v>
      </c>
      <c r="J80" s="26">
        <v>80.625</v>
      </c>
      <c r="K80" s="16">
        <v>2.4196957566052899</v>
      </c>
    </row>
    <row r="81" spans="1:11" x14ac:dyDescent="0.2">
      <c r="A81" s="6">
        <v>1995</v>
      </c>
      <c r="B81" s="25" t="s">
        <v>12</v>
      </c>
      <c r="C81" s="23">
        <v>-0.51640585562847097</v>
      </c>
      <c r="D81" s="26">
        <v>2.31799711626687</v>
      </c>
      <c r="E81" s="26">
        <v>-9.25706167474514</v>
      </c>
      <c r="F81" s="26">
        <v>4.96782178217821</v>
      </c>
      <c r="G81" s="26">
        <v>4.53172091103007</v>
      </c>
      <c r="H81" s="26">
        <v>4.1716738197424901</v>
      </c>
      <c r="I81" s="26">
        <v>-2.30672604110761</v>
      </c>
      <c r="J81" s="26">
        <v>88.125</v>
      </c>
      <c r="K81" s="16">
        <v>4.2725380304243501</v>
      </c>
    </row>
    <row r="82" spans="1:11" ht="16" thickBot="1" x14ac:dyDescent="0.25">
      <c r="A82" s="7">
        <v>1996</v>
      </c>
      <c r="B82" s="8" t="s">
        <v>12</v>
      </c>
      <c r="C82" s="24">
        <v>7.1781928319030103E-2</v>
      </c>
      <c r="D82" s="17">
        <v>-0.34840739284310002</v>
      </c>
      <c r="E82" s="17">
        <v>-13.3812468661206</v>
      </c>
      <c r="F82" s="17">
        <v>3.8943378712871199</v>
      </c>
      <c r="G82" s="17">
        <v>4.6007190531892901</v>
      </c>
      <c r="H82" s="17">
        <v>4.65236051502146</v>
      </c>
      <c r="I82" s="17">
        <v>-1.77366153667628</v>
      </c>
      <c r="J82" s="17">
        <v>97.499999999999901</v>
      </c>
      <c r="K82" s="18">
        <v>-0.83586869495596205</v>
      </c>
    </row>
    <row r="83" spans="1:11" x14ac:dyDescent="0.2">
      <c r="A83" s="4">
        <v>1987</v>
      </c>
      <c r="B83" s="5" t="s">
        <v>13</v>
      </c>
      <c r="C83" s="22">
        <v>1.0069551079396599</v>
      </c>
      <c r="D83" s="13">
        <v>3.1135223524846798</v>
      </c>
      <c r="E83" s="13">
        <v>-4.4863992468310103</v>
      </c>
      <c r="F83" s="13">
        <v>4.8464104032611202</v>
      </c>
      <c r="G83" s="13">
        <v>11.858341559723501</v>
      </c>
      <c r="H83" s="13">
        <v>4.0458887822785803</v>
      </c>
      <c r="I83" s="13">
        <v>-1.41858793608668</v>
      </c>
      <c r="J83" s="13">
        <v>111.866801210898</v>
      </c>
      <c r="K83" s="14">
        <v>11.513003305587601</v>
      </c>
    </row>
    <row r="84" spans="1:11" x14ac:dyDescent="0.2">
      <c r="A84" s="6">
        <v>1988</v>
      </c>
      <c r="B84" s="25" t="s">
        <v>13</v>
      </c>
      <c r="C84" s="23">
        <v>1.6597416674193799</v>
      </c>
      <c r="D84" s="26">
        <v>5.43524292563953</v>
      </c>
      <c r="E84" s="26">
        <v>-5.0230321778017197</v>
      </c>
      <c r="F84" s="26">
        <v>2.9061078731933998</v>
      </c>
      <c r="G84" s="26">
        <v>11.858341559723501</v>
      </c>
      <c r="H84" s="26">
        <v>5.1332026198322902</v>
      </c>
      <c r="I84" s="26">
        <v>-0.66069552717421198</v>
      </c>
      <c r="J84" s="26">
        <v>111.866801210898</v>
      </c>
      <c r="K84" s="16">
        <v>16.593253415110102</v>
      </c>
    </row>
    <row r="85" spans="1:11" x14ac:dyDescent="0.2">
      <c r="A85" s="6">
        <v>1989</v>
      </c>
      <c r="B85" s="25" t="s">
        <v>13</v>
      </c>
      <c r="C85" s="23">
        <v>2.3174058350645801</v>
      </c>
      <c r="D85" s="26">
        <v>6.5183614644826902</v>
      </c>
      <c r="E85" s="26">
        <v>1.15295383477351</v>
      </c>
      <c r="F85" s="26">
        <v>2.7664319644240698</v>
      </c>
      <c r="G85" s="26">
        <v>12.035208950312599</v>
      </c>
      <c r="H85" s="26">
        <v>5.5970964915939998</v>
      </c>
      <c r="I85" s="26">
        <v>0.167965942389564</v>
      </c>
      <c r="J85" s="26">
        <v>105.02522704339</v>
      </c>
      <c r="K85" s="16">
        <v>22.934007726313201</v>
      </c>
    </row>
    <row r="86" spans="1:11" x14ac:dyDescent="0.2">
      <c r="A86" s="6">
        <v>1990</v>
      </c>
      <c r="B86" s="25" t="s">
        <v>13</v>
      </c>
      <c r="C86" s="23">
        <v>1.7315508987444601</v>
      </c>
      <c r="D86" s="26">
        <v>4.7143649011945303</v>
      </c>
      <c r="E86" s="26">
        <v>4.4033489122759502</v>
      </c>
      <c r="F86" s="26">
        <v>2.7664319644240698</v>
      </c>
      <c r="G86" s="26">
        <v>14.2974662717999</v>
      </c>
      <c r="H86" s="26">
        <v>-2.4943473363647701</v>
      </c>
      <c r="I86" s="26">
        <v>-0.89998341350140898</v>
      </c>
      <c r="J86" s="26">
        <v>105.02522704339</v>
      </c>
      <c r="K86" s="16">
        <v>25.1252538930264</v>
      </c>
    </row>
    <row r="87" spans="1:11" x14ac:dyDescent="0.2">
      <c r="A87" s="6">
        <v>1991</v>
      </c>
      <c r="B87" s="25" t="s">
        <v>13</v>
      </c>
      <c r="C87" s="23">
        <v>0.21122753138831199</v>
      </c>
      <c r="D87" s="26">
        <v>3.46329092874366</v>
      </c>
      <c r="E87" s="26">
        <v>11.372516055277201</v>
      </c>
      <c r="F87" s="26">
        <v>2.7664319644240698</v>
      </c>
      <c r="G87" s="26">
        <v>15.979763079960501</v>
      </c>
      <c r="H87" s="26">
        <v>-5.9538609152726201</v>
      </c>
      <c r="I87" s="26">
        <v>1.20075192126942</v>
      </c>
      <c r="J87" s="26">
        <v>66.195761856710703</v>
      </c>
      <c r="K87" s="16">
        <v>19.7917081524552</v>
      </c>
    </row>
    <row r="88" spans="1:11" x14ac:dyDescent="0.2">
      <c r="A88" s="6">
        <v>1992</v>
      </c>
      <c r="B88" s="25" t="s">
        <v>13</v>
      </c>
      <c r="C88" s="23">
        <v>-1.48143799114804</v>
      </c>
      <c r="D88" s="26">
        <v>2.45749840636346</v>
      </c>
      <c r="E88" s="26">
        <v>14.060388016542699</v>
      </c>
      <c r="F88" s="26">
        <v>2.7664319644240698</v>
      </c>
      <c r="G88" s="26">
        <v>18.793188548864698</v>
      </c>
      <c r="H88" s="26">
        <v>-3.4508364273497198</v>
      </c>
      <c r="I88" s="26">
        <v>2.1337977552938501</v>
      </c>
      <c r="J88" s="26">
        <v>69.323915237134301</v>
      </c>
      <c r="K88" s="16">
        <v>1.3644509936676099</v>
      </c>
    </row>
    <row r="89" spans="1:11" x14ac:dyDescent="0.2">
      <c r="A89" s="6">
        <v>1993</v>
      </c>
      <c r="B89" s="25" t="s">
        <v>13</v>
      </c>
      <c r="C89" s="23">
        <v>-2.1312437900821899</v>
      </c>
      <c r="D89" s="26">
        <v>1.63019317646406</v>
      </c>
      <c r="E89" s="26">
        <v>9.6967149725967303</v>
      </c>
      <c r="F89" s="26">
        <v>2.7664319644240698</v>
      </c>
      <c r="G89" s="26">
        <v>18.126850937808499</v>
      </c>
      <c r="H89" s="26">
        <v>0.76826164949313303</v>
      </c>
      <c r="I89" s="26">
        <v>-1.2113672803671101</v>
      </c>
      <c r="J89" s="26">
        <v>123.895055499495</v>
      </c>
      <c r="K89" s="16">
        <v>-15.635031263690299</v>
      </c>
    </row>
    <row r="90" spans="1:11" x14ac:dyDescent="0.2">
      <c r="A90" s="6">
        <v>1994</v>
      </c>
      <c r="B90" s="25" t="s">
        <v>13</v>
      </c>
      <c r="C90" s="23">
        <v>-1.4128804985999399</v>
      </c>
      <c r="D90" s="26">
        <v>2.0672653196973401</v>
      </c>
      <c r="E90" s="26">
        <v>6.6557950304293403</v>
      </c>
      <c r="F90" s="26">
        <v>2.7664319644240698</v>
      </c>
      <c r="G90" s="26">
        <v>15.918065153010801</v>
      </c>
      <c r="H90" s="26">
        <v>2.2503858829418699</v>
      </c>
      <c r="I90" s="26">
        <v>-5.3336650633051299</v>
      </c>
      <c r="J90" s="26">
        <v>191.564076690212</v>
      </c>
      <c r="K90" s="16">
        <v>-5.5067903938826799</v>
      </c>
    </row>
    <row r="91" spans="1:11" x14ac:dyDescent="0.2">
      <c r="A91" s="6">
        <v>1995</v>
      </c>
      <c r="B91" s="25" t="s">
        <v>13</v>
      </c>
      <c r="C91" s="23">
        <v>-1.2973082829012701</v>
      </c>
      <c r="D91" s="26">
        <v>-0.27718189628890499</v>
      </c>
      <c r="E91" s="26">
        <v>-1.04771191284763</v>
      </c>
      <c r="F91" s="26">
        <v>2.7664319644240698</v>
      </c>
      <c r="G91" s="26">
        <v>13.5735439289239</v>
      </c>
      <c r="H91" s="26">
        <v>4.5161236494096899</v>
      </c>
      <c r="I91" s="26">
        <v>-2.4564604412008602</v>
      </c>
      <c r="J91" s="26">
        <v>222.98688193743601</v>
      </c>
      <c r="K91" s="16">
        <v>2.6727468238480299</v>
      </c>
    </row>
    <row r="92" spans="1:11" x14ac:dyDescent="0.2">
      <c r="A92" s="6">
        <v>1996</v>
      </c>
      <c r="B92" s="25" t="s">
        <v>13</v>
      </c>
      <c r="C92" s="23">
        <v>-1.1509800379369499</v>
      </c>
      <c r="D92" s="26">
        <v>0.71419860868601104</v>
      </c>
      <c r="E92" s="26">
        <v>-10.610604888873899</v>
      </c>
      <c r="F92" s="26">
        <v>2.7664319644240698</v>
      </c>
      <c r="G92" s="26">
        <v>14.7046725896676</v>
      </c>
      <c r="H92" s="26">
        <v>3.09440574026948</v>
      </c>
      <c r="I92" s="26">
        <v>-3.7431304251672399</v>
      </c>
      <c r="J92" s="26">
        <v>295.96367305751801</v>
      </c>
      <c r="K92" s="16">
        <v>-5.8688119797682203</v>
      </c>
    </row>
    <row r="93" spans="1:11" x14ac:dyDescent="0.2">
      <c r="A93" s="6">
        <v>1997</v>
      </c>
      <c r="B93" s="25" t="s">
        <v>13</v>
      </c>
      <c r="C93" s="23">
        <v>-0.83312257248667598</v>
      </c>
      <c r="D93" s="26">
        <v>1.4833014606025301</v>
      </c>
      <c r="E93" s="26">
        <v>-17.330284792037901</v>
      </c>
      <c r="F93" s="26">
        <v>2.7664319644240698</v>
      </c>
      <c r="G93" s="26">
        <v>14.001316222441501</v>
      </c>
      <c r="H93" s="26">
        <v>6.3730340828500998</v>
      </c>
      <c r="I93" s="26">
        <v>-2.9211035550395299</v>
      </c>
      <c r="J93" s="26">
        <v>458.97073662966699</v>
      </c>
      <c r="K93" s="16">
        <v>-10.866621530128601</v>
      </c>
    </row>
    <row r="94" spans="1:11" x14ac:dyDescent="0.2">
      <c r="A94" s="6">
        <v>1998</v>
      </c>
      <c r="B94" s="25" t="s">
        <v>13</v>
      </c>
      <c r="C94" s="23">
        <v>-0.34373588655044601</v>
      </c>
      <c r="D94" s="26">
        <v>0.795681937862035</v>
      </c>
      <c r="E94" s="26">
        <v>-17.857503110184599</v>
      </c>
      <c r="F94" s="26">
        <v>2.7664319644240698</v>
      </c>
      <c r="G94" s="26">
        <v>13.832675222112499</v>
      </c>
      <c r="H94" s="26">
        <v>5.6565016061073603</v>
      </c>
      <c r="I94" s="26">
        <v>-0.88317576159672795</v>
      </c>
      <c r="J94" s="26">
        <v>574.873864783047</v>
      </c>
      <c r="K94" s="16">
        <v>-5.8281890955434204</v>
      </c>
    </row>
    <row r="95" spans="1:11" ht="16" thickBot="1" x14ac:dyDescent="0.25">
      <c r="A95" s="7">
        <v>1999</v>
      </c>
      <c r="B95" s="8" t="s">
        <v>13</v>
      </c>
      <c r="C95" s="24">
        <v>0.37381447023755798</v>
      </c>
      <c r="D95" s="17">
        <v>1.5772567279177401</v>
      </c>
      <c r="E95" s="17">
        <v>-15.294374768837599</v>
      </c>
      <c r="F95" s="17">
        <v>2.7664319644240698</v>
      </c>
      <c r="G95" s="17">
        <v>0</v>
      </c>
      <c r="H95" s="17">
        <v>4.1596929623294701</v>
      </c>
      <c r="I95" s="17">
        <v>-2.4420854757560599</v>
      </c>
      <c r="J95" s="17">
        <v>820.82744702320804</v>
      </c>
      <c r="K95" s="18">
        <v>-10.330160500219</v>
      </c>
    </row>
    <row r="96" spans="1:11" x14ac:dyDescent="0.2">
      <c r="A96" s="4">
        <v>1987</v>
      </c>
      <c r="B96" s="5" t="s">
        <v>14</v>
      </c>
      <c r="C96" s="22">
        <v>1.4362059969582199</v>
      </c>
      <c r="D96" s="13">
        <v>5.0118133837997902</v>
      </c>
      <c r="E96" s="13">
        <v>4.0863245039547502</v>
      </c>
      <c r="F96" s="13">
        <v>9.1403909700132697</v>
      </c>
      <c r="G96" s="13">
        <v>4.5320567618396304</v>
      </c>
      <c r="H96" s="13">
        <v>3.6458481754136001</v>
      </c>
      <c r="I96" s="13">
        <v>-0.67094270641245402</v>
      </c>
      <c r="J96" s="13">
        <v>65.196160969860301</v>
      </c>
      <c r="K96" s="14">
        <v>0.391408037642207</v>
      </c>
    </row>
    <row r="97" spans="1:11" x14ac:dyDescent="0.2">
      <c r="A97" s="6">
        <v>1988</v>
      </c>
      <c r="B97" s="25" t="s">
        <v>14</v>
      </c>
      <c r="C97" s="23">
        <v>1.97861876797033</v>
      </c>
      <c r="D97" s="26">
        <v>5.4416794987833903</v>
      </c>
      <c r="E97" s="26">
        <v>5.2632294925860599</v>
      </c>
      <c r="F97" s="26">
        <v>10.6397270004014</v>
      </c>
      <c r="G97" s="26">
        <v>4.2140536843904899</v>
      </c>
      <c r="H97" s="26">
        <v>1.38621071796089</v>
      </c>
      <c r="I97" s="26">
        <v>-1.1042765742507601</v>
      </c>
      <c r="J97" s="26">
        <v>79.104226300724093</v>
      </c>
      <c r="K97" s="16">
        <v>2.3270166618324502</v>
      </c>
    </row>
    <row r="98" spans="1:11" x14ac:dyDescent="0.2">
      <c r="A98" s="6">
        <v>1989</v>
      </c>
      <c r="B98" s="25" t="s">
        <v>14</v>
      </c>
      <c r="C98" s="23">
        <v>2.5901930527647901</v>
      </c>
      <c r="D98" s="26">
        <v>6.2902448485418399</v>
      </c>
      <c r="E98" s="26">
        <v>5.3774996599102201</v>
      </c>
      <c r="F98" s="26">
        <v>12.6141358615649</v>
      </c>
      <c r="G98" s="26">
        <v>4.2140536843904899</v>
      </c>
      <c r="H98" s="26">
        <v>2.5719939840101298</v>
      </c>
      <c r="I98" s="26">
        <v>1.1755367766143301</v>
      </c>
      <c r="J98" s="26">
        <v>103.148678228658</v>
      </c>
      <c r="K98" s="16">
        <v>7.0548519127267797</v>
      </c>
    </row>
    <row r="99" spans="1:11" x14ac:dyDescent="0.2">
      <c r="A99" s="6">
        <v>1990</v>
      </c>
      <c r="B99" s="25" t="s">
        <v>14</v>
      </c>
      <c r="C99" s="23">
        <v>2.7344220073490999</v>
      </c>
      <c r="D99" s="26">
        <v>7.5395248786336397</v>
      </c>
      <c r="E99" s="26">
        <v>4.8255825252152196</v>
      </c>
      <c r="F99" s="26">
        <v>14.359243589347599</v>
      </c>
      <c r="G99" s="26">
        <v>3.69909386219866</v>
      </c>
      <c r="H99" s="26">
        <v>1.2654159740362501</v>
      </c>
      <c r="I99" s="26">
        <v>1.0944630630341601</v>
      </c>
      <c r="J99" s="26">
        <v>117.15777066846201</v>
      </c>
      <c r="K99" s="16">
        <v>10.9138225530954</v>
      </c>
    </row>
    <row r="100" spans="1:11" x14ac:dyDescent="0.2">
      <c r="A100" s="6">
        <v>1991</v>
      </c>
      <c r="B100" s="25" t="s">
        <v>14</v>
      </c>
      <c r="C100" s="23">
        <v>1.7249747443910299</v>
      </c>
      <c r="D100" s="26">
        <v>7.18383035745771</v>
      </c>
      <c r="E100" s="26">
        <v>4.6825504790407502</v>
      </c>
      <c r="F100" s="26">
        <v>10.9974470625778</v>
      </c>
      <c r="G100" s="26">
        <v>6.2800478714310097</v>
      </c>
      <c r="H100" s="26">
        <v>-1.4264228607614899</v>
      </c>
      <c r="I100" s="26">
        <v>1.91879800522746</v>
      </c>
      <c r="J100" s="26">
        <v>97.019700286243506</v>
      </c>
      <c r="K100" s="16">
        <v>11.9702536336974</v>
      </c>
    </row>
    <row r="101" spans="1:11" x14ac:dyDescent="0.2">
      <c r="A101" s="6">
        <v>1992</v>
      </c>
      <c r="B101" s="25" t="s">
        <v>14</v>
      </c>
      <c r="C101" s="23">
        <v>-5.7449572042317598E-2</v>
      </c>
      <c r="D101" s="26">
        <v>3.9135801017949299</v>
      </c>
      <c r="E101" s="26">
        <v>8.8709019181063802</v>
      </c>
      <c r="F101" s="26">
        <v>19.435522888936902</v>
      </c>
      <c r="G101" s="26">
        <v>4.76799452897931</v>
      </c>
      <c r="H101" s="26">
        <v>1.13797197815245</v>
      </c>
      <c r="I101" s="26">
        <v>3.0120103266359801</v>
      </c>
      <c r="J101" s="26">
        <v>101.22916315878101</v>
      </c>
      <c r="K101" s="16">
        <v>14.774726868413399</v>
      </c>
    </row>
    <row r="102" spans="1:11" x14ac:dyDescent="0.2">
      <c r="A102" s="6">
        <v>1993</v>
      </c>
      <c r="B102" s="25" t="s">
        <v>14</v>
      </c>
      <c r="C102" s="23">
        <v>-1.46438126533376</v>
      </c>
      <c r="D102" s="26">
        <v>3.5093390382377501</v>
      </c>
      <c r="E102" s="26">
        <v>13.2792428629729</v>
      </c>
      <c r="F102" s="26">
        <v>8.1974511802188399</v>
      </c>
      <c r="G102" s="26">
        <v>4.5771926825098204</v>
      </c>
      <c r="H102" s="26">
        <v>-0.54650518483337096</v>
      </c>
      <c r="I102" s="26">
        <v>0.50052114234402001</v>
      </c>
      <c r="J102" s="26">
        <v>93.248021552449899</v>
      </c>
      <c r="K102" s="16">
        <v>-0.93315930258789503</v>
      </c>
    </row>
    <row r="103" spans="1:11" x14ac:dyDescent="0.2">
      <c r="A103" s="6">
        <v>1994</v>
      </c>
      <c r="B103" s="25" t="s">
        <v>14</v>
      </c>
      <c r="C103" s="23">
        <v>-1.29256541480256</v>
      </c>
      <c r="D103" s="26">
        <v>3.4969966969543802</v>
      </c>
      <c r="E103" s="26">
        <v>11.8598052743067</v>
      </c>
      <c r="F103" s="26">
        <v>7.7288121635115203</v>
      </c>
      <c r="G103" s="26">
        <v>9.7165327406394209</v>
      </c>
      <c r="H103" s="26">
        <v>3.62035937623684</v>
      </c>
      <c r="I103" s="26">
        <v>-1.60303385019963</v>
      </c>
      <c r="J103" s="26">
        <v>124.633776730089</v>
      </c>
      <c r="K103" s="16">
        <v>-4.5890940732862902</v>
      </c>
    </row>
    <row r="104" spans="1:11" x14ac:dyDescent="0.2">
      <c r="A104" s="6">
        <v>1995</v>
      </c>
      <c r="B104" s="25" t="s">
        <v>14</v>
      </c>
      <c r="C104" s="23">
        <v>-0.87938365212757497</v>
      </c>
      <c r="D104" s="26">
        <v>2.8003009180350902</v>
      </c>
      <c r="E104" s="26">
        <v>1.2793205977806801</v>
      </c>
      <c r="F104" s="26">
        <v>9.0320455411094898</v>
      </c>
      <c r="G104" s="26">
        <v>9.2077278167207997</v>
      </c>
      <c r="H104" s="26">
        <v>3.9118182537797801</v>
      </c>
      <c r="I104" s="26">
        <v>-1.2004874685310201</v>
      </c>
      <c r="J104" s="26">
        <v>167.83970365381299</v>
      </c>
      <c r="K104" s="16">
        <v>-7.8982564697541102</v>
      </c>
    </row>
    <row r="105" spans="1:11" x14ac:dyDescent="0.2">
      <c r="A105" s="6">
        <v>1996</v>
      </c>
      <c r="B105" s="25" t="s">
        <v>14</v>
      </c>
      <c r="C105" s="23">
        <v>-0.63001365468088999</v>
      </c>
      <c r="D105" s="26">
        <v>1.6643353355353601</v>
      </c>
      <c r="E105" s="26">
        <v>-8.9109353440736996</v>
      </c>
      <c r="F105" s="26">
        <v>5.2695510741895903</v>
      </c>
      <c r="G105" s="26">
        <v>7.2750897589331496</v>
      </c>
      <c r="H105" s="26">
        <v>2.3980052244122501</v>
      </c>
      <c r="I105" s="26">
        <v>-2.0486827125058</v>
      </c>
      <c r="J105" s="26">
        <v>196.868159622832</v>
      </c>
      <c r="K105" s="16">
        <v>5.7425311805085499</v>
      </c>
    </row>
    <row r="106" spans="1:11" x14ac:dyDescent="0.2">
      <c r="A106" s="6">
        <v>1997</v>
      </c>
      <c r="B106" s="25" t="s">
        <v>14</v>
      </c>
      <c r="C106" s="23">
        <v>-0.71246350425737304</v>
      </c>
      <c r="D106" s="26">
        <v>0.67929895501510196</v>
      </c>
      <c r="E106" s="26">
        <v>-5.7789999416988902</v>
      </c>
      <c r="F106" s="26">
        <v>3.84690610749101</v>
      </c>
      <c r="G106" s="26">
        <v>3.70524876047187</v>
      </c>
      <c r="H106" s="26">
        <v>2.8878334520699802</v>
      </c>
      <c r="I106" s="26">
        <v>-2.8930295207093901</v>
      </c>
      <c r="J106" s="26">
        <v>267.385081663579</v>
      </c>
      <c r="K106" s="16">
        <v>-1.58480776048212</v>
      </c>
    </row>
    <row r="107" spans="1:11" x14ac:dyDescent="0.2">
      <c r="A107" s="6">
        <v>1998</v>
      </c>
      <c r="B107" s="25" t="s">
        <v>14</v>
      </c>
      <c r="C107" s="23">
        <v>-4.01203388137059E-2</v>
      </c>
      <c r="D107" s="26">
        <v>0.75876012365850398</v>
      </c>
      <c r="E107" s="26">
        <v>5.1110636065061499E-2</v>
      </c>
      <c r="F107" s="26">
        <v>3.9812441452291898</v>
      </c>
      <c r="G107" s="26">
        <v>3.3975038468114098</v>
      </c>
      <c r="H107" s="26">
        <v>4.5712024063959502</v>
      </c>
      <c r="I107" s="26">
        <v>-1.7233616086461501</v>
      </c>
      <c r="J107" s="26">
        <v>323.48880282875899</v>
      </c>
      <c r="K107" s="16">
        <v>0.69628412130586503</v>
      </c>
    </row>
    <row r="108" spans="1:11" x14ac:dyDescent="0.2">
      <c r="A108" s="6">
        <v>1999</v>
      </c>
      <c r="B108" s="25" t="s">
        <v>14</v>
      </c>
      <c r="C108" s="23">
        <v>0.69928618212902005</v>
      </c>
      <c r="D108" s="26">
        <v>0.99032595535599199</v>
      </c>
      <c r="E108" s="26">
        <v>0.60535981499114599</v>
      </c>
      <c r="F108" s="26">
        <v>3.1057307268665699</v>
      </c>
      <c r="G108" s="26">
        <v>3.3687809882030999</v>
      </c>
      <c r="H108" s="26">
        <v>4.4703554183487704</v>
      </c>
      <c r="I108" s="26">
        <v>-1.8113625066145</v>
      </c>
      <c r="J108" s="26">
        <v>366.99781107930602</v>
      </c>
      <c r="K108" s="16">
        <v>-1.21225305359503</v>
      </c>
    </row>
    <row r="109" spans="1:11" ht="16" thickBot="1" x14ac:dyDescent="0.25">
      <c r="A109" s="7">
        <v>2000</v>
      </c>
      <c r="B109" s="8" t="s">
        <v>14</v>
      </c>
      <c r="C109" s="24">
        <v>1.18372761686963</v>
      </c>
      <c r="D109" s="17">
        <v>0.63757008686657402</v>
      </c>
      <c r="E109" s="17">
        <v>-4.41086732611695</v>
      </c>
      <c r="F109" s="17">
        <v>3.9050677866650201</v>
      </c>
      <c r="G109" s="17">
        <v>3.5021371174559701</v>
      </c>
      <c r="H109" s="17">
        <v>5.4987730546980202</v>
      </c>
      <c r="I109" s="17">
        <v>-1.12993281272549</v>
      </c>
      <c r="J109" s="17">
        <v>553.49385418420604</v>
      </c>
      <c r="K109" s="18">
        <v>2.0787005704335101E-2</v>
      </c>
    </row>
    <row r="110" spans="1:11" x14ac:dyDescent="0.2">
      <c r="A110" s="4">
        <v>1987</v>
      </c>
      <c r="B110" s="5" t="s">
        <v>10</v>
      </c>
      <c r="C110" s="22">
        <v>1.03643897538924</v>
      </c>
      <c r="D110" s="13">
        <v>1.65172326620038</v>
      </c>
      <c r="E110" s="13">
        <v>14.820739106453299</v>
      </c>
      <c r="F110" s="13">
        <v>4.0639545092318698</v>
      </c>
      <c r="G110" s="13">
        <v>7.4358899168658397</v>
      </c>
      <c r="H110" s="13">
        <v>3.588839560582</v>
      </c>
      <c r="I110" s="13">
        <v>-1.6147087664247799</v>
      </c>
      <c r="J110" s="13">
        <v>76.634746922024604</v>
      </c>
      <c r="K110" s="14">
        <v>-17.34497921605</v>
      </c>
    </row>
    <row r="111" spans="1:11" x14ac:dyDescent="0.2">
      <c r="A111" s="6">
        <v>1988</v>
      </c>
      <c r="B111" s="25" t="s">
        <v>10</v>
      </c>
      <c r="C111" s="23">
        <v>0.93500753390255997</v>
      </c>
      <c r="D111" s="26">
        <v>2.0231454172635499</v>
      </c>
      <c r="E111" s="26">
        <v>10.0498621070049</v>
      </c>
      <c r="F111" s="26">
        <v>6.7743560652106298</v>
      </c>
      <c r="G111" s="26">
        <v>8.9072328196706891</v>
      </c>
      <c r="H111" s="26">
        <v>4.9253702323471202</v>
      </c>
      <c r="I111" s="26">
        <v>-0.57991763090802395</v>
      </c>
      <c r="J111" s="26">
        <v>90.177838577291297</v>
      </c>
      <c r="K111" s="16">
        <v>-5.29836133154694</v>
      </c>
    </row>
    <row r="112" spans="1:11" x14ac:dyDescent="0.2">
      <c r="A112" s="6">
        <v>1989</v>
      </c>
      <c r="B112" s="25" t="s">
        <v>10</v>
      </c>
      <c r="C112" s="23">
        <v>0.43224510296333302</v>
      </c>
      <c r="D112" s="26">
        <v>2.7695289458161199</v>
      </c>
      <c r="E112" s="26">
        <v>4.6303364589078697</v>
      </c>
      <c r="F112" s="26">
        <v>6.9749314531923199</v>
      </c>
      <c r="G112" s="26">
        <v>8.9072328196706891</v>
      </c>
      <c r="H112" s="26">
        <v>3.1564211413201999</v>
      </c>
      <c r="I112" s="26">
        <v>0.33990978623259199</v>
      </c>
      <c r="J112" s="26">
        <v>74.664842681258506</v>
      </c>
      <c r="K112" s="16">
        <v>14.6454704730495</v>
      </c>
    </row>
    <row r="113" spans="1:11" x14ac:dyDescent="0.2">
      <c r="A113" s="6">
        <v>1990</v>
      </c>
      <c r="B113" s="25" t="s">
        <v>10</v>
      </c>
      <c r="C113" s="23">
        <v>-0.33174284279256799</v>
      </c>
      <c r="D113" s="26">
        <v>2.3902418471391198</v>
      </c>
      <c r="E113" s="26">
        <v>1.5909542195256401</v>
      </c>
      <c r="F113" s="26">
        <v>4.0676013344678896</v>
      </c>
      <c r="G113" s="26">
        <v>8.5139949855578401</v>
      </c>
      <c r="H113" s="26">
        <v>0.34959007096795602</v>
      </c>
      <c r="I113" s="26">
        <v>1.0009805844283099</v>
      </c>
      <c r="J113" s="26">
        <v>66.429548563611405</v>
      </c>
      <c r="K113" s="16">
        <v>18.5447799649593</v>
      </c>
    </row>
    <row r="114" spans="1:11" x14ac:dyDescent="0.2">
      <c r="A114" s="6">
        <v>1991</v>
      </c>
      <c r="B114" s="25" t="s">
        <v>10</v>
      </c>
      <c r="C114" s="23">
        <v>-1.1133098945253601</v>
      </c>
      <c r="D114" s="26">
        <v>1.4069267717198899</v>
      </c>
      <c r="E114" s="26">
        <v>1.7842250413678999</v>
      </c>
      <c r="F114" s="26">
        <v>1.9575752664208399</v>
      </c>
      <c r="G114" s="26">
        <v>8.1207571514449892</v>
      </c>
      <c r="H114" s="26">
        <v>-1.4181924236041299</v>
      </c>
      <c r="I114" s="26">
        <v>-1.3524220435379499</v>
      </c>
      <c r="J114" s="26">
        <v>53.324213406292699</v>
      </c>
      <c r="K114" s="16">
        <v>11.3966470850939</v>
      </c>
    </row>
    <row r="115" spans="1:11" x14ac:dyDescent="0.2">
      <c r="A115" s="6">
        <v>1992</v>
      </c>
      <c r="B115" s="25" t="s">
        <v>10</v>
      </c>
      <c r="C115" s="23">
        <v>-1.2507785032646901</v>
      </c>
      <c r="D115" s="26">
        <v>0.68561276368641</v>
      </c>
      <c r="E115" s="26">
        <v>3.7231108659680099</v>
      </c>
      <c r="F115" s="26">
        <v>1.1223172197684901</v>
      </c>
      <c r="G115" s="26">
        <v>8.1207571514449892</v>
      </c>
      <c r="H115" s="26">
        <v>1.46757834019248</v>
      </c>
      <c r="I115" s="26">
        <v>-1.92547558344773</v>
      </c>
      <c r="J115" s="26">
        <v>74.199726402188702</v>
      </c>
      <c r="K115" s="16">
        <v>-5.1697069634820902</v>
      </c>
    </row>
    <row r="116" spans="1:11" x14ac:dyDescent="0.2">
      <c r="A116" s="6">
        <v>1993</v>
      </c>
      <c r="B116" s="25" t="s">
        <v>10</v>
      </c>
      <c r="C116" s="23">
        <v>-1.21263184329482</v>
      </c>
      <c r="D116" s="26">
        <v>0.228266059942136</v>
      </c>
      <c r="E116" s="26">
        <v>5.0080529509100904</v>
      </c>
      <c r="F116" s="26">
        <v>0.20736928832880899</v>
      </c>
      <c r="G116" s="26">
        <v>8.8465316774921998</v>
      </c>
      <c r="H116" s="26">
        <v>2.7030039858712098</v>
      </c>
      <c r="I116" s="26">
        <v>-2.0680917827024898</v>
      </c>
      <c r="J116" s="26">
        <v>73.269493844049194</v>
      </c>
      <c r="K116" s="16">
        <v>1.5215225531622401</v>
      </c>
    </row>
    <row r="117" spans="1:11" x14ac:dyDescent="0.2">
      <c r="A117" s="6">
        <v>1994</v>
      </c>
      <c r="B117" s="25" t="s">
        <v>10</v>
      </c>
      <c r="C117" s="23">
        <v>-0.84505273731793196</v>
      </c>
      <c r="D117" s="26">
        <v>0.22512008089660099</v>
      </c>
      <c r="E117" s="26">
        <v>4.1273028130170903</v>
      </c>
      <c r="F117" s="26">
        <v>0.169415292353818</v>
      </c>
      <c r="G117" s="26">
        <v>9.5709866134920603</v>
      </c>
      <c r="H117" s="26">
        <v>1.5500178230013899</v>
      </c>
      <c r="I117" s="26">
        <v>-2.3536771916061898</v>
      </c>
      <c r="J117" s="26">
        <v>73.269493844049194</v>
      </c>
      <c r="K117" s="16">
        <v>12.9813803291078</v>
      </c>
    </row>
    <row r="118" spans="1:11" x14ac:dyDescent="0.2">
      <c r="A118" s="6">
        <v>1995</v>
      </c>
      <c r="B118" s="25" t="s">
        <v>10</v>
      </c>
      <c r="C118" s="23">
        <v>-1.0514314414866901</v>
      </c>
      <c r="D118" s="26">
        <v>0.33218168028987799</v>
      </c>
      <c r="E118" s="26">
        <v>5.4087148372862597</v>
      </c>
      <c r="F118" s="26">
        <v>0.169415292353818</v>
      </c>
      <c r="G118" s="26">
        <v>10.6715247129891</v>
      </c>
      <c r="H118" s="26">
        <v>-0.73378917009623701</v>
      </c>
      <c r="I118" s="26">
        <v>-1.6640125514806801</v>
      </c>
      <c r="J118" s="26">
        <v>59.699042407660698</v>
      </c>
      <c r="K118" s="16">
        <v>19.998454086365001</v>
      </c>
    </row>
    <row r="119" spans="1:11" x14ac:dyDescent="0.2">
      <c r="A119" s="6">
        <v>1996</v>
      </c>
      <c r="B119" s="25" t="s">
        <v>10</v>
      </c>
      <c r="C119" s="23">
        <v>-1.3799849321948701</v>
      </c>
      <c r="D119" s="26">
        <v>-0.16399820229768999</v>
      </c>
      <c r="E119" s="26">
        <v>6.25239933811363</v>
      </c>
      <c r="F119" s="26">
        <v>1.19264691978315E-2</v>
      </c>
      <c r="G119" s="26">
        <v>12.1507851560782</v>
      </c>
      <c r="H119" s="26">
        <v>-0.12599241712304299</v>
      </c>
      <c r="I119" s="26">
        <v>-0.91657187683859698</v>
      </c>
      <c r="J119" s="26">
        <v>53.351573187414402</v>
      </c>
      <c r="K119" s="16">
        <v>7.2015527843622298</v>
      </c>
    </row>
    <row r="120" spans="1:11" x14ac:dyDescent="0.2">
      <c r="A120" s="6">
        <v>1997</v>
      </c>
      <c r="B120" s="25" t="s">
        <v>10</v>
      </c>
      <c r="C120" s="23">
        <v>-1.0990708186840701</v>
      </c>
      <c r="D120" s="26">
        <v>-0.39306480155051898</v>
      </c>
      <c r="E120" s="26">
        <v>5.1624931053502303</v>
      </c>
      <c r="F120" s="26">
        <v>1.35472804138458E-2</v>
      </c>
      <c r="G120" s="26">
        <v>14.755655909564</v>
      </c>
      <c r="H120" s="26">
        <v>1.5243527009948401</v>
      </c>
      <c r="I120" s="26">
        <v>-1.5764659737203299</v>
      </c>
      <c r="J120" s="26">
        <v>73.406292749657993</v>
      </c>
      <c r="K120" s="16">
        <v>-7.8437940155965498</v>
      </c>
    </row>
    <row r="121" spans="1:11" x14ac:dyDescent="0.2">
      <c r="A121" s="6">
        <v>1998</v>
      </c>
      <c r="B121" s="25" t="s">
        <v>10</v>
      </c>
      <c r="C121" s="23">
        <v>-1.1314163736815599</v>
      </c>
      <c r="D121" s="26">
        <v>-0.85237774219825302</v>
      </c>
      <c r="E121" s="26">
        <v>3.2077220077220101</v>
      </c>
      <c r="F121" s="26">
        <v>-0.184191687939815</v>
      </c>
      <c r="G121" s="26">
        <v>16.240194712842499</v>
      </c>
      <c r="H121" s="26">
        <v>1.71956317443857</v>
      </c>
      <c r="I121" s="26">
        <v>-1.37442635810943</v>
      </c>
      <c r="J121" s="26">
        <v>49.5759233926128</v>
      </c>
      <c r="K121" s="16">
        <v>3.3335051015150099</v>
      </c>
    </row>
    <row r="122" spans="1:11" x14ac:dyDescent="0.2">
      <c r="A122" s="6">
        <v>1999</v>
      </c>
      <c r="B122" s="25" t="s">
        <v>10</v>
      </c>
      <c r="C122" s="23">
        <v>-1.4425665494726201</v>
      </c>
      <c r="D122" s="26">
        <v>-0.85237774219825302</v>
      </c>
      <c r="E122" s="26">
        <v>3.8422504136789599</v>
      </c>
      <c r="F122" s="26">
        <v>-0.184191687939815</v>
      </c>
      <c r="G122" s="26">
        <v>21.079131416506598</v>
      </c>
      <c r="H122" s="26">
        <v>0.67001523056482803</v>
      </c>
      <c r="I122" s="26">
        <v>-1.45914885271622</v>
      </c>
      <c r="J122" s="26">
        <v>37.674418604651102</v>
      </c>
      <c r="K122" s="16">
        <v>12.566560170394</v>
      </c>
    </row>
    <row r="123" spans="1:11" x14ac:dyDescent="0.2">
      <c r="A123" s="6">
        <v>2000</v>
      </c>
      <c r="B123" s="25" t="s">
        <v>10</v>
      </c>
      <c r="C123" s="23">
        <v>-1.0920391762933199</v>
      </c>
      <c r="D123" s="26">
        <v>-0.40958119153956501</v>
      </c>
      <c r="E123" s="26">
        <v>2.5273028130171</v>
      </c>
      <c r="F123" s="26">
        <v>-0.18230074152113501</v>
      </c>
      <c r="G123" s="26">
        <v>21.063296335938301</v>
      </c>
      <c r="H123" s="26">
        <v>2.00421270942027</v>
      </c>
      <c r="I123" s="26">
        <v>-0.76924887232790695</v>
      </c>
      <c r="J123" s="26">
        <v>42.708618331053302</v>
      </c>
      <c r="K123" s="16">
        <v>-1.50125390772612</v>
      </c>
    </row>
    <row r="124" spans="1:11" x14ac:dyDescent="0.2">
      <c r="A124" s="6">
        <v>2001</v>
      </c>
      <c r="B124" s="25" t="s">
        <v>10</v>
      </c>
      <c r="C124" s="23">
        <v>-0.51491712707182402</v>
      </c>
      <c r="D124" s="26">
        <v>-0.60138760147187398</v>
      </c>
      <c r="E124" s="26">
        <v>-1.3822393822393899</v>
      </c>
      <c r="F124" s="26">
        <v>-0.140429785107446</v>
      </c>
      <c r="G124" s="26">
        <v>17.3235781417239</v>
      </c>
      <c r="H124" s="26">
        <v>1.37541722025989</v>
      </c>
      <c r="I124" s="26">
        <v>-1.42914296920965</v>
      </c>
      <c r="J124" s="26">
        <v>49.521203830369302</v>
      </c>
      <c r="K124" s="16">
        <v>-3.3048198151774302</v>
      </c>
    </row>
    <row r="125" spans="1:11" x14ac:dyDescent="0.2">
      <c r="A125" s="6">
        <v>2002</v>
      </c>
      <c r="B125" s="25" t="s">
        <v>10</v>
      </c>
      <c r="C125" s="23">
        <v>0.18385233550979199</v>
      </c>
      <c r="D125" s="26">
        <v>-0.45588607061599601</v>
      </c>
      <c r="E125" s="26">
        <v>-2.6954219525648102</v>
      </c>
      <c r="F125" s="26">
        <v>9.95853424639037E-2</v>
      </c>
      <c r="G125" s="26">
        <v>17.679867454510799</v>
      </c>
      <c r="H125" s="26">
        <v>1.36258465925661</v>
      </c>
      <c r="I125" s="26">
        <v>-1.4567954500882501</v>
      </c>
      <c r="J125" s="26">
        <v>69.740082079343296</v>
      </c>
      <c r="K125" s="16">
        <v>0.87704833556631401</v>
      </c>
    </row>
    <row r="126" spans="1:11" x14ac:dyDescent="0.2">
      <c r="A126" s="6">
        <v>2003</v>
      </c>
      <c r="B126" s="25" t="s">
        <v>10</v>
      </c>
      <c r="C126" s="23">
        <v>0.51750376695127898</v>
      </c>
      <c r="D126" s="26">
        <v>-0.19703098227578</v>
      </c>
      <c r="E126" s="26">
        <v>-5.5168229453943596</v>
      </c>
      <c r="F126" s="26">
        <v>0.34000567283925398</v>
      </c>
      <c r="G126" s="26">
        <v>19.151210357315701</v>
      </c>
      <c r="H126" s="26">
        <v>0.52341294273956096</v>
      </c>
      <c r="I126" s="26">
        <v>-1.42667189645028</v>
      </c>
      <c r="J126" s="26">
        <v>69.384404924760503</v>
      </c>
      <c r="K126" s="16">
        <v>-4.0334604417877804</v>
      </c>
    </row>
    <row r="127" spans="1:11" x14ac:dyDescent="0.2">
      <c r="A127" s="6">
        <v>2004</v>
      </c>
      <c r="B127" s="25" t="s">
        <v>10</v>
      </c>
      <c r="C127" s="23">
        <v>-2.0592667001508799E-2</v>
      </c>
      <c r="D127" s="26">
        <v>0.73801297716355996</v>
      </c>
      <c r="E127" s="26">
        <v>-4.2389409817981196</v>
      </c>
      <c r="F127" s="26">
        <v>0.30151140645893099</v>
      </c>
      <c r="G127" s="26">
        <v>22.493731947274998</v>
      </c>
      <c r="H127" s="26">
        <v>-1.13626494701707</v>
      </c>
      <c r="I127" s="26">
        <v>-1.1963914493037799</v>
      </c>
      <c r="J127" s="26">
        <v>60.4924760601914</v>
      </c>
      <c r="K127" s="16">
        <v>-8.3463877151396808</v>
      </c>
    </row>
    <row r="128" spans="1:11" x14ac:dyDescent="0.2">
      <c r="A128" s="6">
        <v>2005</v>
      </c>
      <c r="B128" s="25" t="s">
        <v>10</v>
      </c>
      <c r="C128" s="23">
        <v>-1.53362631843294</v>
      </c>
      <c r="D128" s="26">
        <v>-0.28177579281480902</v>
      </c>
      <c r="E128" s="26">
        <v>5.2675124103695401</v>
      </c>
      <c r="F128" s="26">
        <v>2.3137080108593701E-2</v>
      </c>
      <c r="G128" s="26">
        <v>26.2215738310631</v>
      </c>
      <c r="H128" s="26">
        <v>-9.0092355552674999</v>
      </c>
      <c r="I128" s="26">
        <v>-1.25240243184938</v>
      </c>
      <c r="J128" s="26">
        <v>45.581395348837098</v>
      </c>
      <c r="K128" s="16">
        <v>-2.2419183070527899</v>
      </c>
    </row>
    <row r="129" spans="1:11" x14ac:dyDescent="0.2">
      <c r="A129" s="6">
        <v>2006</v>
      </c>
      <c r="B129" s="25" t="s">
        <v>10</v>
      </c>
      <c r="C129" s="23">
        <v>-1.1827473631340999</v>
      </c>
      <c r="D129" s="26">
        <v>-1.41767085194236</v>
      </c>
      <c r="E129" s="26">
        <v>9.1399889685604006</v>
      </c>
      <c r="F129" s="26">
        <v>2.5298161729942498E-2</v>
      </c>
      <c r="G129" s="26">
        <v>29.946776534756498</v>
      </c>
      <c r="H129" s="26">
        <v>3.9100424511487701</v>
      </c>
      <c r="I129" s="26">
        <v>-1.22263188860561</v>
      </c>
      <c r="J129" s="26">
        <v>50.123119015047799</v>
      </c>
      <c r="K129" s="16">
        <v>10.73894671751</v>
      </c>
    </row>
    <row r="130" spans="1:11" x14ac:dyDescent="0.2">
      <c r="A130" s="6">
        <v>2007</v>
      </c>
      <c r="B130" s="25" t="s">
        <v>10</v>
      </c>
      <c r="C130" s="23">
        <v>-0.97144650929181398</v>
      </c>
      <c r="D130" s="26">
        <v>-0.81993483329119898</v>
      </c>
      <c r="E130" s="26">
        <v>6.9654715940430201</v>
      </c>
      <c r="F130" s="26">
        <v>2.71891081486259E-2</v>
      </c>
      <c r="G130" s="26">
        <v>29.946776534756498</v>
      </c>
      <c r="H130" s="26">
        <v>-0.33909070287436499</v>
      </c>
      <c r="I130" s="26">
        <v>-0.96316924887232902</v>
      </c>
      <c r="J130" s="26">
        <v>50.396716826265298</v>
      </c>
      <c r="K130" s="16">
        <v>10.553780617678299</v>
      </c>
    </row>
    <row r="131" spans="1:11" x14ac:dyDescent="0.2">
      <c r="A131" s="6">
        <v>2008</v>
      </c>
      <c r="B131" s="25" t="s">
        <v>10</v>
      </c>
      <c r="C131" s="23">
        <v>-0.76049723756906096</v>
      </c>
      <c r="D131" s="26">
        <v>-1.0117412432235</v>
      </c>
      <c r="E131" s="26">
        <v>4.7909542195256396</v>
      </c>
      <c r="F131" s="26">
        <v>2.71891081486259E-2</v>
      </c>
      <c r="G131" s="26">
        <v>29.946776534756498</v>
      </c>
      <c r="H131" s="26">
        <v>1.10321138079653</v>
      </c>
      <c r="I131" s="26">
        <v>-0.96316924887232902</v>
      </c>
      <c r="J131" s="26">
        <v>50.396716826265298</v>
      </c>
      <c r="K131" s="16">
        <v>13.855508605585801</v>
      </c>
    </row>
    <row r="132" spans="1:11" x14ac:dyDescent="0.2">
      <c r="A132" s="6">
        <v>2009</v>
      </c>
      <c r="B132" s="25" t="s">
        <v>10</v>
      </c>
      <c r="C132" s="23">
        <v>-6.1376192867906597E-2</v>
      </c>
      <c r="D132" s="26">
        <v>0.90189882306676195</v>
      </c>
      <c r="E132" s="26">
        <v>5.4290126861555299</v>
      </c>
      <c r="F132" s="26">
        <v>-1.04947526236891E-2</v>
      </c>
      <c r="G132" s="26">
        <v>37.782502235971997</v>
      </c>
      <c r="H132" s="26">
        <v>1.5029650993227199</v>
      </c>
      <c r="I132" s="26">
        <v>-0.81843498725240205</v>
      </c>
      <c r="J132" s="26">
        <v>57.920656634746798</v>
      </c>
      <c r="K132" s="16">
        <v>-3.1016180562712599</v>
      </c>
    </row>
    <row r="133" spans="1:11" x14ac:dyDescent="0.2">
      <c r="A133" s="6">
        <v>2010</v>
      </c>
      <c r="B133" s="25" t="s">
        <v>10</v>
      </c>
      <c r="C133" s="23">
        <v>0.202310396785533</v>
      </c>
      <c r="D133" s="26">
        <v>1.0081739276986501</v>
      </c>
      <c r="E133" s="26">
        <v>3.4636514065085402</v>
      </c>
      <c r="F133" s="26">
        <v>-0.12908410659535</v>
      </c>
      <c r="G133" s="26">
        <v>58.679530225943097</v>
      </c>
      <c r="H133" s="26">
        <v>0.76489840889206495</v>
      </c>
      <c r="I133" s="26">
        <v>-0.64545989409688398</v>
      </c>
      <c r="J133" s="26">
        <v>63.2558139534883</v>
      </c>
      <c r="K133" s="16">
        <v>-14.355869318767301</v>
      </c>
    </row>
    <row r="134" spans="1:11" x14ac:dyDescent="0.2">
      <c r="A134" s="6">
        <v>2011</v>
      </c>
      <c r="B134" s="25" t="s">
        <v>10</v>
      </c>
      <c r="C134" s="23">
        <v>0.16943746860873801</v>
      </c>
      <c r="D134" s="26">
        <v>0.51553327153731399</v>
      </c>
      <c r="E134" s="26">
        <v>3.43717595146166</v>
      </c>
      <c r="F134" s="26">
        <v>-0.366938152545351</v>
      </c>
      <c r="G134" s="26">
        <v>71.3673885312962</v>
      </c>
      <c r="H134" s="26">
        <v>0.95894228588094399</v>
      </c>
      <c r="I134" s="26">
        <v>-0.41435575603059499</v>
      </c>
      <c r="J134" s="26">
        <v>63.2558139534883</v>
      </c>
      <c r="K134" s="16">
        <v>-8.5339585695145601</v>
      </c>
    </row>
    <row r="135" spans="1:11" x14ac:dyDescent="0.2">
      <c r="A135" s="6">
        <v>2012</v>
      </c>
      <c r="B135" s="25" t="s">
        <v>10</v>
      </c>
      <c r="C135" s="23">
        <v>0.32800100452033998</v>
      </c>
      <c r="D135" s="26">
        <v>-1.51540687059359E-2</v>
      </c>
      <c r="E135" s="26">
        <v>3.43717595146166</v>
      </c>
      <c r="F135" s="26">
        <v>-0.36558747653200602</v>
      </c>
      <c r="G135" s="26">
        <v>78.456226265706704</v>
      </c>
      <c r="H135" s="26">
        <v>0.95894228588094399</v>
      </c>
      <c r="I135" s="26">
        <v>-0.24126299274367799</v>
      </c>
      <c r="J135" s="26">
        <v>79.2886456908344</v>
      </c>
      <c r="K135" s="16">
        <v>-2.4944175340959802</v>
      </c>
    </row>
    <row r="136" spans="1:11" ht="16" thickBot="1" x14ac:dyDescent="0.25">
      <c r="A136" s="7">
        <v>2013</v>
      </c>
      <c r="B136" s="8" t="s">
        <v>10</v>
      </c>
      <c r="C136" s="24">
        <v>0.52154696132596501</v>
      </c>
      <c r="D136" s="17">
        <v>-0.13440633690064899</v>
      </c>
      <c r="E136" s="17">
        <v>3.43717595146166</v>
      </c>
      <c r="F136" s="17">
        <v>-0.125302213757986</v>
      </c>
      <c r="G136" s="17">
        <v>78.456226265706704</v>
      </c>
      <c r="H136" s="17">
        <v>1.04371496159953</v>
      </c>
      <c r="I136" s="17">
        <v>-0.24008629142969401</v>
      </c>
      <c r="J136" s="17">
        <v>79.2886456908344</v>
      </c>
      <c r="K136" s="18">
        <v>-1.09364801264214</v>
      </c>
    </row>
    <row r="137" spans="1:11" x14ac:dyDescent="0.2">
      <c r="A137" s="4">
        <v>2005</v>
      </c>
      <c r="B137" s="5" t="s">
        <v>15</v>
      </c>
      <c r="C137" s="22">
        <v>1.44707765159819</v>
      </c>
      <c r="D137" s="13">
        <v>1.49071692653914</v>
      </c>
      <c r="E137" s="13">
        <v>6.6017236483890898</v>
      </c>
      <c r="F137" s="13">
        <v>2.4563435263500302</v>
      </c>
      <c r="G137" s="13">
        <v>8.7273569370111002</v>
      </c>
      <c r="H137" s="13">
        <v>3.2115562680523499</v>
      </c>
      <c r="I137" s="13">
        <v>-1.0583096039347599</v>
      </c>
      <c r="J137" s="13">
        <v>69.173634241950495</v>
      </c>
      <c r="K137" s="14">
        <v>3.4787111622554598</v>
      </c>
    </row>
    <row r="138" spans="1:11" x14ac:dyDescent="0.2">
      <c r="A138" s="6">
        <v>2006</v>
      </c>
      <c r="B138" s="25" t="s">
        <v>15</v>
      </c>
      <c r="C138" s="23">
        <v>1.57560178892445</v>
      </c>
      <c r="D138" s="26">
        <v>1.4816749718694699</v>
      </c>
      <c r="E138" s="26">
        <v>6.5055200173700998</v>
      </c>
      <c r="F138" s="26">
        <v>3.2472348731294698</v>
      </c>
      <c r="G138" s="26">
        <v>8.7273569370111002</v>
      </c>
      <c r="H138" s="26">
        <v>4.2899293798974503</v>
      </c>
      <c r="I138" s="26">
        <v>-0.55999223401501397</v>
      </c>
      <c r="J138" s="26">
        <v>89.736025196564896</v>
      </c>
      <c r="K138" s="16">
        <v>5.6674338319907802</v>
      </c>
    </row>
    <row r="139" spans="1:11" x14ac:dyDescent="0.2">
      <c r="A139" s="6">
        <v>2007</v>
      </c>
      <c r="B139" s="25" t="s">
        <v>15</v>
      </c>
      <c r="C139" s="23">
        <v>1.3939031876178301</v>
      </c>
      <c r="D139" s="26">
        <v>2.0698842629802301</v>
      </c>
      <c r="E139" s="26">
        <v>7.3920632004409397</v>
      </c>
      <c r="F139" s="26">
        <v>4.3285621340273197</v>
      </c>
      <c r="G139" s="26">
        <v>8.7551461506792805</v>
      </c>
      <c r="H139" s="26">
        <v>4.8369242250445597</v>
      </c>
      <c r="I139" s="26">
        <v>4.6595909914559598E-3</v>
      </c>
      <c r="J139" s="26">
        <v>109.137380191693</v>
      </c>
      <c r="K139" s="16">
        <v>7.74338319907939</v>
      </c>
    </row>
    <row r="140" spans="1:11" x14ac:dyDescent="0.2">
      <c r="A140" s="6">
        <v>2008</v>
      </c>
      <c r="B140" s="25" t="s">
        <v>15</v>
      </c>
      <c r="C140" s="23">
        <v>0.38450914193010799</v>
      </c>
      <c r="D140" s="26">
        <v>2.5452097733483301</v>
      </c>
      <c r="E140" s="26">
        <v>9.99824628797621</v>
      </c>
      <c r="F140" s="26">
        <v>3.6044242029928402</v>
      </c>
      <c r="G140" s="26">
        <v>12.2396047756278</v>
      </c>
      <c r="H140" s="26">
        <v>0.36698959355435901</v>
      </c>
      <c r="I140" s="26">
        <v>-1.2166709811029099E-2</v>
      </c>
      <c r="J140" s="26">
        <v>49.036322026601397</v>
      </c>
      <c r="K140" s="16">
        <v>3.48101265822784</v>
      </c>
    </row>
    <row r="141" spans="1:11" x14ac:dyDescent="0.2">
      <c r="A141" s="6">
        <v>2009</v>
      </c>
      <c r="B141" s="25" t="s">
        <v>15</v>
      </c>
      <c r="C141" s="23">
        <v>-0.43582014293857202</v>
      </c>
      <c r="D141" s="26">
        <v>1.516195145475</v>
      </c>
      <c r="E141" s="26">
        <v>14.4804001803818</v>
      </c>
      <c r="F141" s="26">
        <v>0.38230318802862501</v>
      </c>
      <c r="G141" s="26">
        <v>12.7938452037875</v>
      </c>
      <c r="H141" s="26">
        <v>-4.0996282425130204</v>
      </c>
      <c r="I141" s="26">
        <v>-3.3104452498058499</v>
      </c>
      <c r="J141" s="26">
        <v>60.7132984388099</v>
      </c>
      <c r="K141" s="16">
        <v>10.857307249712299</v>
      </c>
    </row>
    <row r="142" spans="1:11" x14ac:dyDescent="0.2">
      <c r="A142" s="6">
        <v>2010</v>
      </c>
      <c r="B142" s="25" t="s">
        <v>15</v>
      </c>
      <c r="C142" s="23">
        <v>-0.45354496426535801</v>
      </c>
      <c r="D142" s="26">
        <v>1.2396720784439801</v>
      </c>
      <c r="E142" s="26">
        <v>10.962286840479001</v>
      </c>
      <c r="F142" s="26">
        <v>0.61535458685751099</v>
      </c>
      <c r="G142" s="26">
        <v>13.610539316591099</v>
      </c>
      <c r="H142" s="26">
        <v>3.3269531088047</v>
      </c>
      <c r="I142" s="26">
        <v>-2.2112347916127302</v>
      </c>
      <c r="J142" s="26">
        <v>62.096390456121298</v>
      </c>
      <c r="K142" s="16">
        <v>2.1864211737629001E-2</v>
      </c>
    </row>
    <row r="143" spans="1:11" x14ac:dyDescent="0.2">
      <c r="A143" s="6">
        <v>2011</v>
      </c>
      <c r="B143" s="25" t="s">
        <v>15</v>
      </c>
      <c r="C143" s="23">
        <v>-0.56380716446704904</v>
      </c>
      <c r="D143" s="26">
        <v>3.1801559234849699</v>
      </c>
      <c r="E143" s="26">
        <v>3.92071551450571</v>
      </c>
      <c r="F143" s="26">
        <v>0.74222511385816503</v>
      </c>
      <c r="G143" s="26">
        <v>15.3720666941127</v>
      </c>
      <c r="H143" s="26">
        <v>4.2111554886054199</v>
      </c>
      <c r="I143" s="26">
        <v>-1.8252006212787899</v>
      </c>
      <c r="J143" s="26">
        <v>45.007590691772599</v>
      </c>
      <c r="K143" s="16">
        <v>-2.3394706559263501</v>
      </c>
    </row>
    <row r="144" spans="1:11" x14ac:dyDescent="0.2">
      <c r="A144" s="6">
        <v>2012</v>
      </c>
      <c r="B144" s="25" t="s">
        <v>15</v>
      </c>
      <c r="C144" s="23">
        <v>-1.02541982724602</v>
      </c>
      <c r="D144" s="26">
        <v>2.5354042758398898</v>
      </c>
      <c r="E144" s="26">
        <v>-5.4818532560586499</v>
      </c>
      <c r="F144" s="26">
        <v>0.231620039037082</v>
      </c>
      <c r="G144" s="26">
        <v>15.799711815561899</v>
      </c>
      <c r="H144" s="26">
        <v>0.63039843005016505</v>
      </c>
      <c r="I144" s="26">
        <v>-1.7743981361636001</v>
      </c>
      <c r="J144" s="26">
        <v>54.679718124759198</v>
      </c>
      <c r="K144" s="16">
        <v>-3.6812428078250798</v>
      </c>
    </row>
    <row r="145" spans="1:11" x14ac:dyDescent="0.2">
      <c r="A145" s="6">
        <v>2013</v>
      </c>
      <c r="B145" s="25" t="s">
        <v>15</v>
      </c>
      <c r="C145" s="23">
        <v>-1.0640154338580201</v>
      </c>
      <c r="D145" s="26">
        <v>2.2364169747628999</v>
      </c>
      <c r="E145" s="26">
        <v>-8.1548444206904591</v>
      </c>
      <c r="F145" s="26">
        <v>0.14066363044892599</v>
      </c>
      <c r="G145" s="26">
        <v>12.9080897488678</v>
      </c>
      <c r="H145" s="26">
        <v>0.93195041390842803</v>
      </c>
      <c r="I145" s="26">
        <v>-1.8818275951333101</v>
      </c>
      <c r="J145" s="26">
        <v>60.040785806539297</v>
      </c>
      <c r="K145" s="16">
        <v>0.52589182968929205</v>
      </c>
    </row>
    <row r="146" spans="1:11" x14ac:dyDescent="0.2">
      <c r="A146" s="6">
        <v>2014</v>
      </c>
      <c r="B146" s="25" t="s">
        <v>15</v>
      </c>
      <c r="C146" s="23">
        <v>-1.0910246854036001</v>
      </c>
      <c r="D146" s="26">
        <v>2.0157129078926199</v>
      </c>
      <c r="E146" s="26">
        <v>-9.4976867703305299</v>
      </c>
      <c r="F146" s="26">
        <v>-2.3292127521147E-2</v>
      </c>
      <c r="G146" s="26">
        <v>12.926615891313199</v>
      </c>
      <c r="H146" s="26">
        <v>0.91370803908290499</v>
      </c>
      <c r="I146" s="26">
        <v>-0.95961687807403695</v>
      </c>
      <c r="J146" s="26">
        <v>48.497043029025903</v>
      </c>
      <c r="K146" s="16">
        <v>-6.0126582278480996</v>
      </c>
    </row>
    <row r="147" spans="1:11" x14ac:dyDescent="0.2">
      <c r="A147" s="6">
        <v>2015</v>
      </c>
      <c r="B147" s="25" t="s">
        <v>15</v>
      </c>
      <c r="C147" s="23">
        <v>-1.1504910773008199</v>
      </c>
      <c r="D147" s="26">
        <v>1.7526523067030999</v>
      </c>
      <c r="E147" s="26">
        <v>-9.0306983114258301</v>
      </c>
      <c r="F147" s="26">
        <v>-0.16187378009108999</v>
      </c>
      <c r="G147" s="26">
        <v>17.467064635652498</v>
      </c>
      <c r="H147" s="26">
        <v>1.4309899252339</v>
      </c>
      <c r="I147" s="26">
        <v>-0.99877038571058696</v>
      </c>
      <c r="J147" s="26">
        <v>45.791131352955802</v>
      </c>
      <c r="K147" s="16">
        <v>-7.3590333716916003</v>
      </c>
    </row>
    <row r="148" spans="1:11" x14ac:dyDescent="0.2">
      <c r="A148" s="6">
        <v>2016</v>
      </c>
      <c r="B148" s="25" t="s">
        <v>15</v>
      </c>
      <c r="C148" s="23">
        <v>-0.92352128732406702</v>
      </c>
      <c r="D148" s="26">
        <v>1.95595563414242</v>
      </c>
      <c r="E148" s="26">
        <v>-9.3426920314665907</v>
      </c>
      <c r="F148" s="26">
        <v>-0.32778139232270698</v>
      </c>
      <c r="G148" s="26">
        <v>24.3989296006587</v>
      </c>
      <c r="H148" s="26">
        <v>1.4970494340717699</v>
      </c>
      <c r="I148" s="26">
        <v>-0.456445767538182</v>
      </c>
      <c r="J148" s="26">
        <v>51.294949357623501</v>
      </c>
      <c r="K148" s="16">
        <v>-6.8066743383199002</v>
      </c>
    </row>
    <row r="149" spans="1:11" ht="16" thickBot="1" x14ac:dyDescent="0.25">
      <c r="A149" s="7">
        <v>2017</v>
      </c>
      <c r="B149" s="8" t="s">
        <v>15</v>
      </c>
      <c r="C149" s="24">
        <v>-0.24867365282588599</v>
      </c>
      <c r="D149" s="17">
        <v>2.2587204629480802</v>
      </c>
      <c r="E149" s="17">
        <v>-10.3975915688206</v>
      </c>
      <c r="F149" s="17">
        <v>-0.33363695510735297</v>
      </c>
      <c r="G149" s="17">
        <v>27.471181556195901</v>
      </c>
      <c r="H149" s="17">
        <v>3.14148896474522</v>
      </c>
      <c r="I149" s="17">
        <v>-0.80882733626714998</v>
      </c>
      <c r="J149" s="17">
        <v>70.712165499739399</v>
      </c>
      <c r="K149" s="18">
        <v>-1.9666283084004601</v>
      </c>
    </row>
    <row r="150" spans="1:11" x14ac:dyDescent="0.2">
      <c r="A150" s="6">
        <v>2005</v>
      </c>
      <c r="B150" s="25" t="s">
        <v>16</v>
      </c>
      <c r="C150" s="23">
        <v>-1.0627158348547101</v>
      </c>
      <c r="D150" s="26">
        <v>0.40975609756097597</v>
      </c>
      <c r="E150" s="26">
        <v>2.6992341130200801</v>
      </c>
      <c r="F150" s="26">
        <v>2.6936087816962502</v>
      </c>
      <c r="G150" s="26">
        <v>7.8197010811043404</v>
      </c>
      <c r="H150" s="26">
        <v>2.4761023743447401</v>
      </c>
      <c r="I150" s="26">
        <v>-0.97719283017230096</v>
      </c>
      <c r="J150" s="26">
        <v>61.076285845777797</v>
      </c>
      <c r="K150" s="16">
        <v>0.16052631578946799</v>
      </c>
    </row>
    <row r="151" spans="1:11" x14ac:dyDescent="0.2">
      <c r="A151" s="6">
        <v>2006</v>
      </c>
      <c r="B151" s="25" t="s">
        <v>16</v>
      </c>
      <c r="C151" s="23">
        <v>-0.33443129577898301</v>
      </c>
      <c r="D151" s="26">
        <v>0.75121951219512195</v>
      </c>
      <c r="E151" s="26">
        <v>-0.218898778720756</v>
      </c>
      <c r="F151" s="26">
        <v>4.2806355624528303</v>
      </c>
      <c r="G151" s="26">
        <v>8.5730283843735098</v>
      </c>
      <c r="H151" s="26">
        <v>4.7353273717751003</v>
      </c>
      <c r="I151" s="26">
        <v>-1.0624321861030299</v>
      </c>
      <c r="J151" s="26">
        <v>89.437100280894498</v>
      </c>
      <c r="K151" s="16">
        <v>1.9131578947368399</v>
      </c>
    </row>
    <row r="152" spans="1:11" x14ac:dyDescent="0.2">
      <c r="A152" s="6">
        <v>2007</v>
      </c>
      <c r="B152" s="25" t="s">
        <v>16</v>
      </c>
      <c r="C152" s="23">
        <v>1.0349075072037099E-2</v>
      </c>
      <c r="D152" s="26">
        <v>1.4926829268292601</v>
      </c>
      <c r="E152" s="26">
        <v>-5.3218795280480098</v>
      </c>
      <c r="F152" s="26">
        <v>3.8952404003587802</v>
      </c>
      <c r="G152" s="26">
        <v>9.21566093810568</v>
      </c>
      <c r="H152" s="26">
        <v>3.3524514338575302</v>
      </c>
      <c r="I152" s="26">
        <v>-6.7162883555400996E-2</v>
      </c>
      <c r="J152" s="26">
        <v>114.083125704219</v>
      </c>
      <c r="K152" s="16">
        <v>2.2802631578947299</v>
      </c>
    </row>
    <row r="153" spans="1:11" x14ac:dyDescent="0.2">
      <c r="A153" s="6">
        <v>2008</v>
      </c>
      <c r="B153" s="25" t="s">
        <v>16</v>
      </c>
      <c r="C153" s="23">
        <v>-0.71019840309702398</v>
      </c>
      <c r="D153" s="26">
        <v>1.82439024390243</v>
      </c>
      <c r="E153" s="26">
        <v>-2.0140757607120601</v>
      </c>
      <c r="F153" s="26">
        <v>0.99605620969004904</v>
      </c>
      <c r="G153" s="26">
        <v>9.87552224662962</v>
      </c>
      <c r="H153" s="26">
        <v>1.1296124987151701</v>
      </c>
      <c r="I153" s="26">
        <v>-1.6209148908467499</v>
      </c>
      <c r="J153" s="26">
        <v>65.599796867313103</v>
      </c>
      <c r="K153" s="16">
        <v>4.8223684210526301</v>
      </c>
    </row>
    <row r="154" spans="1:11" x14ac:dyDescent="0.2">
      <c r="A154" s="6">
        <v>2009</v>
      </c>
      <c r="B154" s="25" t="s">
        <v>16</v>
      </c>
      <c r="C154" s="23">
        <v>-1.9804621340430599</v>
      </c>
      <c r="D154" s="26">
        <v>1.41463414634146</v>
      </c>
      <c r="E154" s="26">
        <v>4.8830469882012002</v>
      </c>
      <c r="F154" s="26">
        <v>0.16566766803821401</v>
      </c>
      <c r="G154" s="26">
        <v>12.6454752982728</v>
      </c>
      <c r="H154" s="26">
        <v>-2.1005242059821101</v>
      </c>
      <c r="I154" s="26">
        <v>-2.9729395425545699</v>
      </c>
      <c r="J154" s="26">
        <v>75.635503784933206</v>
      </c>
      <c r="K154" s="16">
        <v>0.46052631578946901</v>
      </c>
    </row>
    <row r="155" spans="1:11" x14ac:dyDescent="0.2">
      <c r="A155" s="6">
        <v>2010</v>
      </c>
      <c r="B155" s="25" t="s">
        <v>16</v>
      </c>
      <c r="C155" s="23">
        <v>-1.03519345401755</v>
      </c>
      <c r="D155" s="26">
        <v>0.60487804878048801</v>
      </c>
      <c r="E155" s="26">
        <v>5.2634030221486201</v>
      </c>
      <c r="F155" s="26">
        <v>0.32253655480729598</v>
      </c>
      <c r="G155" s="26">
        <v>11.6767885601068</v>
      </c>
      <c r="H155" s="26">
        <v>5.0144927536231796</v>
      </c>
      <c r="I155" s="26">
        <v>-2.4597673712078398</v>
      </c>
      <c r="J155" s="26">
        <v>78.3349467570184</v>
      </c>
      <c r="K155" s="16">
        <v>-3.8815789473684101</v>
      </c>
    </row>
    <row r="156" spans="1:11" x14ac:dyDescent="0.2">
      <c r="A156" s="6">
        <v>2011</v>
      </c>
      <c r="B156" s="25" t="s">
        <v>16</v>
      </c>
      <c r="C156" s="23">
        <v>-0.34193739964366598</v>
      </c>
      <c r="D156" s="26">
        <v>1.52195121951219</v>
      </c>
      <c r="E156" s="26">
        <v>2.1936452080314601</v>
      </c>
      <c r="F156" s="26">
        <v>-0.18803479647479099</v>
      </c>
      <c r="G156" s="26">
        <v>14.9282853081793</v>
      </c>
      <c r="H156" s="26">
        <v>3.7748997841504801</v>
      </c>
      <c r="I156" s="26">
        <v>-1.7137928041317601</v>
      </c>
      <c r="J156" s="26">
        <v>69.467887578753604</v>
      </c>
      <c r="K156" s="16">
        <v>-6.5973684210526304</v>
      </c>
    </row>
    <row r="157" spans="1:11" x14ac:dyDescent="0.2">
      <c r="A157" s="6">
        <v>2012</v>
      </c>
      <c r="B157" s="25" t="s">
        <v>16</v>
      </c>
      <c r="C157" s="23">
        <v>-0.22865297054747799</v>
      </c>
      <c r="D157" s="26">
        <v>1.58048780487804</v>
      </c>
      <c r="E157" s="26">
        <v>-3.3486855723452602</v>
      </c>
      <c r="F157" s="26">
        <v>-0.119566610191208</v>
      </c>
      <c r="G157" s="26">
        <v>18.717319205754301</v>
      </c>
      <c r="H157" s="26">
        <v>1.1133723918182701</v>
      </c>
      <c r="I157" s="26">
        <v>-1.2664163881775901</v>
      </c>
      <c r="J157" s="26">
        <v>83.827146779236003</v>
      </c>
      <c r="K157" s="16">
        <v>-5.1131578947368403</v>
      </c>
    </row>
    <row r="158" spans="1:11" x14ac:dyDescent="0.2">
      <c r="A158" s="6">
        <v>2013</v>
      </c>
      <c r="B158" s="25" t="s">
        <v>16</v>
      </c>
      <c r="C158" s="23">
        <v>-4.9930712887403098E-2</v>
      </c>
      <c r="D158" s="26">
        <v>1.45365853658536</v>
      </c>
      <c r="E158" s="26">
        <v>-5.5273235354999004</v>
      </c>
      <c r="F158" s="26">
        <v>-8.38874097697761E-2</v>
      </c>
      <c r="G158" s="26">
        <v>12.1471335659215</v>
      </c>
      <c r="H158" s="26">
        <v>2.4115530887038701</v>
      </c>
      <c r="I158" s="26">
        <v>-1.7037237967102099</v>
      </c>
      <c r="J158" s="26">
        <v>102.369987145509</v>
      </c>
      <c r="K158" s="16">
        <v>-2.5552631578947298</v>
      </c>
    </row>
    <row r="159" spans="1:11" x14ac:dyDescent="0.2">
      <c r="A159" s="6">
        <v>2014</v>
      </c>
      <c r="B159" s="25" t="s">
        <v>16</v>
      </c>
      <c r="C159" s="23">
        <v>1.15038602819872E-2</v>
      </c>
      <c r="D159" s="26">
        <v>1.3170731707317</v>
      </c>
      <c r="E159" s="26">
        <v>-7.4027116539018802</v>
      </c>
      <c r="F159" s="26">
        <v>-0.36304227116761401</v>
      </c>
      <c r="G159" s="26">
        <v>13.084377826592499</v>
      </c>
      <c r="H159" s="26">
        <v>2.0466646109569302</v>
      </c>
      <c r="I159" s="26">
        <v>-0.923549325116096</v>
      </c>
      <c r="J159" s="26">
        <v>95.251456048751805</v>
      </c>
      <c r="K159" s="16">
        <v>-8.4092105263157801</v>
      </c>
    </row>
    <row r="160" spans="1:11" x14ac:dyDescent="0.2">
      <c r="A160" s="6">
        <v>2015</v>
      </c>
      <c r="B160" s="25" t="s">
        <v>16</v>
      </c>
      <c r="C160" s="23">
        <v>6.57677671953038E-3</v>
      </c>
      <c r="D160" s="26">
        <v>1.30731707317073</v>
      </c>
      <c r="E160" s="26">
        <v>-8.9655350859035394</v>
      </c>
      <c r="F160" s="26">
        <v>-0.52499394905818497</v>
      </c>
      <c r="G160" s="26">
        <v>18.543739501227499</v>
      </c>
      <c r="H160" s="26">
        <v>1.80367972042347</v>
      </c>
      <c r="I160" s="26">
        <v>-0.92667418948830205</v>
      </c>
      <c r="J160" s="26">
        <v>93.080792852268601</v>
      </c>
      <c r="K160" s="16">
        <v>-5.7763157894736796</v>
      </c>
    </row>
    <row r="161" spans="1:11" x14ac:dyDescent="0.2">
      <c r="A161" s="6">
        <v>2016</v>
      </c>
      <c r="B161" s="25" t="s">
        <v>16</v>
      </c>
      <c r="C161" s="23">
        <v>0.20335217649517201</v>
      </c>
      <c r="D161" s="26">
        <v>1.00487804878048</v>
      </c>
      <c r="E161" s="26">
        <v>-6.4469054026081496</v>
      </c>
      <c r="F161" s="26">
        <v>-0.85477739652889095</v>
      </c>
      <c r="G161" s="26">
        <v>24.0246371193521</v>
      </c>
      <c r="H161" s="26">
        <v>1.8312262308562</v>
      </c>
      <c r="I161" s="26">
        <v>-0.59630658391562796</v>
      </c>
      <c r="J161" s="26">
        <v>92.860838239728295</v>
      </c>
      <c r="K161" s="16">
        <v>-6.1631578947368402</v>
      </c>
    </row>
    <row r="162" spans="1:11" ht="16" thickBot="1" x14ac:dyDescent="0.25">
      <c r="A162" s="6">
        <v>2017</v>
      </c>
      <c r="B162" s="25" t="s">
        <v>16</v>
      </c>
      <c r="C162" s="23">
        <v>0.38499989002045498</v>
      </c>
      <c r="D162" s="26">
        <v>1.45365853658536</v>
      </c>
      <c r="E162" s="26">
        <v>-6.4903746636306998</v>
      </c>
      <c r="F162" s="26">
        <v>-0.81610831897717295</v>
      </c>
      <c r="G162" s="26">
        <v>27.915751389068301</v>
      </c>
      <c r="H162" s="26">
        <v>2.6035563778394502</v>
      </c>
      <c r="I162" s="26">
        <v>-1.13274163447767</v>
      </c>
      <c r="J162" s="26">
        <v>111.35702156697801</v>
      </c>
      <c r="K162" s="16">
        <v>-3.1315789473684199</v>
      </c>
    </row>
    <row r="163" spans="1:11" x14ac:dyDescent="0.2">
      <c r="A163" s="4">
        <v>2005</v>
      </c>
      <c r="B163" s="5" t="s">
        <v>17</v>
      </c>
      <c r="C163" s="22">
        <v>0.88843837576769302</v>
      </c>
      <c r="D163" s="13">
        <v>2.7153735991452801</v>
      </c>
      <c r="E163" s="13">
        <v>10.127857268344</v>
      </c>
      <c r="F163" s="13">
        <v>7.3131931206622403</v>
      </c>
      <c r="G163" s="13">
        <v>2.31394027712598</v>
      </c>
      <c r="H163" s="13">
        <v>2.31394027712598</v>
      </c>
      <c r="I163" s="13">
        <v>-4.8517184035476904</v>
      </c>
      <c r="J163" s="13">
        <v>62.289352754650402</v>
      </c>
      <c r="K163" s="14">
        <v>-0.134341577910145</v>
      </c>
    </row>
    <row r="164" spans="1:11" x14ac:dyDescent="0.2">
      <c r="A164" s="6">
        <v>2006</v>
      </c>
      <c r="B164" s="25" t="s">
        <v>17</v>
      </c>
      <c r="C164" s="23">
        <v>1.2370162780990901</v>
      </c>
      <c r="D164" s="26">
        <v>3.0839376236048199</v>
      </c>
      <c r="E164" s="26">
        <v>13.884420933455599</v>
      </c>
      <c r="F164" s="26">
        <v>10.0365978241408</v>
      </c>
      <c r="G164" s="26">
        <v>4.9553189912811497</v>
      </c>
      <c r="H164" s="26">
        <v>4.9553189912811497</v>
      </c>
      <c r="I164" s="26">
        <v>-3.6419068736142002</v>
      </c>
      <c r="J164" s="26">
        <v>89.624404388448994</v>
      </c>
      <c r="K164" s="16">
        <v>1.11000642146985</v>
      </c>
    </row>
    <row r="165" spans="1:11" x14ac:dyDescent="0.2">
      <c r="A165" s="6">
        <v>2007</v>
      </c>
      <c r="B165" s="25" t="s">
        <v>17</v>
      </c>
      <c r="C165" s="23">
        <v>1.4442788146204699</v>
      </c>
      <c r="D165" s="26">
        <v>3.3170648541747099</v>
      </c>
      <c r="E165" s="26">
        <v>14.1109527806515</v>
      </c>
      <c r="F165" s="26">
        <v>9.6523996587713707</v>
      </c>
      <c r="G165" s="26">
        <v>1.50254402647763</v>
      </c>
      <c r="H165" s="26">
        <v>1.50254402647763</v>
      </c>
      <c r="I165" s="26">
        <v>-4.1075388026607698</v>
      </c>
      <c r="J165" s="26">
        <v>113.82344462720199</v>
      </c>
      <c r="K165" s="16">
        <v>2.3313699873784901</v>
      </c>
    </row>
    <row r="166" spans="1:11" x14ac:dyDescent="0.2">
      <c r="A166" s="6">
        <v>2008</v>
      </c>
      <c r="B166" s="25" t="s">
        <v>17</v>
      </c>
      <c r="C166" s="23">
        <v>1.05336592928268</v>
      </c>
      <c r="D166" s="26">
        <v>3.4653906480871002</v>
      </c>
      <c r="E166" s="26">
        <v>20.527923637002399</v>
      </c>
      <c r="F166" s="26">
        <v>7.3872313087803096</v>
      </c>
      <c r="G166" s="26">
        <v>-1.5670585620075601</v>
      </c>
      <c r="H166" s="26">
        <v>-1.5670585620075601</v>
      </c>
      <c r="I166" s="26">
        <v>-5.9700665188470001</v>
      </c>
      <c r="J166" s="26">
        <v>32.1245315652926</v>
      </c>
      <c r="K166" s="16">
        <v>1.49967892650738</v>
      </c>
    </row>
    <row r="167" spans="1:11" x14ac:dyDescent="0.2">
      <c r="A167" s="6">
        <v>2009</v>
      </c>
      <c r="B167" s="25" t="s">
        <v>17</v>
      </c>
      <c r="C167" s="23">
        <v>0.14984198914793301</v>
      </c>
      <c r="D167" s="26">
        <v>1.88331704212225</v>
      </c>
      <c r="E167" s="26">
        <v>23.424525171289599</v>
      </c>
      <c r="F167" s="26">
        <v>7.5823319396320104</v>
      </c>
      <c r="G167" s="26">
        <v>-1.9040062242201099</v>
      </c>
      <c r="H167" s="26">
        <v>-1.9040062242201099</v>
      </c>
      <c r="I167" s="26">
        <v>-7.4792128603104402</v>
      </c>
      <c r="J167" s="26">
        <v>42.864361657029498</v>
      </c>
      <c r="K167" s="16">
        <v>1.6783729323974199</v>
      </c>
    </row>
    <row r="168" spans="1:11" x14ac:dyDescent="0.2">
      <c r="A168" s="6">
        <v>2010</v>
      </c>
      <c r="B168" s="25" t="s">
        <v>17</v>
      </c>
      <c r="C168" s="23">
        <v>-0.95068868880806001</v>
      </c>
      <c r="D168" s="26">
        <v>2.0316428360346399</v>
      </c>
      <c r="E168" s="26">
        <v>31.312342618438699</v>
      </c>
      <c r="F168" s="26">
        <v>10.7809817695442</v>
      </c>
      <c r="G168" s="26">
        <v>-8.6082322720873297</v>
      </c>
      <c r="H168" s="26">
        <v>-8.6082322720873297</v>
      </c>
      <c r="I168" s="26">
        <v>-6.8847006651884897</v>
      </c>
      <c r="J168" s="26">
        <v>32.512675292082797</v>
      </c>
      <c r="K168" s="16">
        <v>3.0096100617789601</v>
      </c>
    </row>
    <row r="169" spans="1:11" x14ac:dyDescent="0.2">
      <c r="A169" s="6">
        <v>2011</v>
      </c>
      <c r="B169" s="25" t="s">
        <v>17</v>
      </c>
      <c r="C169" s="23">
        <v>-1.6368731739311899</v>
      </c>
      <c r="D169" s="26">
        <v>0.65906662726466703</v>
      </c>
      <c r="E169" s="26">
        <v>27.113451365437498</v>
      </c>
      <c r="F169" s="26">
        <v>47.768059314804397</v>
      </c>
      <c r="G169" s="26">
        <v>-9.5177093881986696</v>
      </c>
      <c r="H169" s="26">
        <v>-9.5177093881986696</v>
      </c>
      <c r="I169" s="26">
        <v>23.7929600886917</v>
      </c>
      <c r="J169" s="26">
        <v>12.2864700795279</v>
      </c>
      <c r="K169" s="16">
        <v>4.4935010296494697</v>
      </c>
    </row>
    <row r="170" spans="1:11" x14ac:dyDescent="0.2">
      <c r="A170" s="6">
        <v>2012</v>
      </c>
      <c r="B170" s="25" t="s">
        <v>17</v>
      </c>
      <c r="C170" s="23">
        <v>-2.3464909665493998</v>
      </c>
      <c r="D170" s="26">
        <v>-1.4917596781159701</v>
      </c>
      <c r="E170" s="26">
        <v>20.312127896308699</v>
      </c>
      <c r="F170" s="26">
        <v>7.1781234531495297</v>
      </c>
      <c r="G170" s="26">
        <v>-6.4300392718650397</v>
      </c>
      <c r="H170" s="26">
        <v>-6.4300392718650397</v>
      </c>
      <c r="I170" s="26">
        <v>-9.1879157427937894</v>
      </c>
      <c r="J170" s="26">
        <v>18.544249063130501</v>
      </c>
      <c r="K170" s="16">
        <v>0.49407674763623499</v>
      </c>
    </row>
    <row r="171" spans="1:11" x14ac:dyDescent="0.2">
      <c r="A171" s="6">
        <v>2013</v>
      </c>
      <c r="B171" s="25" t="s">
        <v>17</v>
      </c>
      <c r="C171" s="23">
        <v>-2.09331584282392</v>
      </c>
      <c r="D171" s="26">
        <v>-2.12240003637107</v>
      </c>
      <c r="E171" s="26">
        <v>7.5887680805793698</v>
      </c>
      <c r="F171" s="26">
        <v>8.40475613737609</v>
      </c>
      <c r="G171" s="26">
        <v>-1.7641588658087799</v>
      </c>
      <c r="H171" s="26">
        <v>-1.7641588658087799</v>
      </c>
      <c r="I171" s="26">
        <v>-7.3711197339246404</v>
      </c>
      <c r="J171" s="26">
        <v>26.144506808200401</v>
      </c>
      <c r="K171" s="16">
        <v>4.1843404707601604</v>
      </c>
    </row>
    <row r="172" spans="1:11" x14ac:dyDescent="0.2">
      <c r="A172" s="6">
        <v>2014</v>
      </c>
      <c r="B172" s="25" t="s">
        <v>17</v>
      </c>
      <c r="C172" s="23">
        <v>-1.69214715878599</v>
      </c>
      <c r="D172" s="26">
        <v>-1.3682912413902799</v>
      </c>
      <c r="E172" s="26">
        <v>0.77456128364792598</v>
      </c>
      <c r="F172" s="26">
        <v>7.6073448410232896</v>
      </c>
      <c r="G172" s="26">
        <v>-0.21786005384444701</v>
      </c>
      <c r="H172" s="26">
        <v>-0.21786005384444701</v>
      </c>
      <c r="I172" s="26">
        <v>-9.4623059866962294</v>
      </c>
      <c r="J172" s="26">
        <v>17.145982059586601</v>
      </c>
      <c r="K172" s="16">
        <v>-2.72772967826221</v>
      </c>
    </row>
    <row r="173" spans="1:11" x14ac:dyDescent="0.2">
      <c r="A173" s="6">
        <v>2015</v>
      </c>
      <c r="B173" s="25" t="s">
        <v>17</v>
      </c>
      <c r="C173" s="23">
        <v>-1.6608431220559201</v>
      </c>
      <c r="D173" s="26">
        <v>0.26462230910868101</v>
      </c>
      <c r="E173" s="26">
        <v>-0.194909133498612</v>
      </c>
      <c r="F173" s="26">
        <v>7.9195058503859999</v>
      </c>
      <c r="G173" s="26">
        <v>-0.31664484896386402</v>
      </c>
      <c r="H173" s="26">
        <v>-0.31664484896386402</v>
      </c>
      <c r="I173" s="26">
        <v>-6.05321507760533</v>
      </c>
      <c r="J173" s="26">
        <v>11.7392705136249</v>
      </c>
      <c r="K173" s="16">
        <v>-1.6590199508425301</v>
      </c>
    </row>
    <row r="174" spans="1:11" x14ac:dyDescent="0.2">
      <c r="A174" s="6">
        <v>2016</v>
      </c>
      <c r="B174" s="25" t="s">
        <v>17</v>
      </c>
      <c r="C174" s="23">
        <v>-1.0588515890525301</v>
      </c>
      <c r="D174" s="26">
        <v>-0.54206542247277401</v>
      </c>
      <c r="E174" s="26">
        <v>-3.20423978605867</v>
      </c>
      <c r="F174" s="26">
        <v>6.5688091752588198</v>
      </c>
      <c r="G174" s="26">
        <v>0.93400350729863701</v>
      </c>
      <c r="H174" s="26">
        <v>0.93400350729863701</v>
      </c>
      <c r="I174" s="26">
        <v>-8.5227272727272805</v>
      </c>
      <c r="J174" s="26">
        <v>14.376748681600001</v>
      </c>
      <c r="K174" s="16">
        <v>-0.65301919798055796</v>
      </c>
    </row>
    <row r="175" spans="1:11" x14ac:dyDescent="0.2">
      <c r="A175" s="6">
        <v>2017</v>
      </c>
      <c r="B175" s="25" t="s">
        <v>17</v>
      </c>
      <c r="C175" s="23">
        <v>-0.78391270645757505</v>
      </c>
      <c r="D175" s="26">
        <v>-0.13360687413334499</v>
      </c>
      <c r="E175" s="26">
        <v>-3.20423978605867</v>
      </c>
      <c r="F175" s="26">
        <v>6.5067771798085197</v>
      </c>
      <c r="G175" s="26">
        <v>1.2777558228567101</v>
      </c>
      <c r="H175" s="26">
        <v>1.2777558228567101</v>
      </c>
      <c r="I175" s="26">
        <v>-5.7206208425720604</v>
      </c>
      <c r="J175" s="26">
        <v>14.376748681600001</v>
      </c>
      <c r="K175" s="16">
        <v>2.11002856446934</v>
      </c>
    </row>
    <row r="176" spans="1:11" ht="16" thickBot="1" x14ac:dyDescent="0.25">
      <c r="A176" s="7">
        <v>2018</v>
      </c>
      <c r="B176" s="8" t="s">
        <v>17</v>
      </c>
      <c r="C176" s="24">
        <v>-0.78391270645757505</v>
      </c>
      <c r="D176" s="17">
        <v>-0.13360687413334499</v>
      </c>
      <c r="E176" s="17">
        <v>-3.20423978605867</v>
      </c>
      <c r="F176" s="17">
        <v>6.5067771798085197</v>
      </c>
      <c r="G176" s="17">
        <v>1.2777558228567101</v>
      </c>
      <c r="H176" s="17">
        <v>1.2777558228567101</v>
      </c>
      <c r="I176" s="17">
        <v>-5.7206208425720604</v>
      </c>
      <c r="J176" s="17">
        <v>14.376748681600001</v>
      </c>
      <c r="K176" s="18">
        <v>2.11002856446934</v>
      </c>
    </row>
    <row r="177" spans="1:11" x14ac:dyDescent="0.2">
      <c r="A177" s="6">
        <v>2004</v>
      </c>
      <c r="B177" s="25" t="s">
        <v>8</v>
      </c>
      <c r="C177" s="23">
        <v>0.80318389379697597</v>
      </c>
      <c r="D177" s="26">
        <v>1.04772727272727</v>
      </c>
      <c r="E177" s="26">
        <v>15.9512777817997</v>
      </c>
      <c r="F177" s="26">
        <v>4.5578370342841197</v>
      </c>
      <c r="G177" s="26">
        <v>3.4057891623025398</v>
      </c>
      <c r="H177" s="26">
        <v>1.8564393533882799</v>
      </c>
      <c r="I177" s="26">
        <v>0.24756843953124599</v>
      </c>
      <c r="J177" s="26">
        <v>68.610962911969693</v>
      </c>
      <c r="K177" s="16">
        <v>7.2989475952731402</v>
      </c>
    </row>
    <row r="178" spans="1:11" x14ac:dyDescent="0.2">
      <c r="A178" s="6">
        <v>2005</v>
      </c>
      <c r="B178" s="25" t="s">
        <v>8</v>
      </c>
      <c r="C178" s="23">
        <v>0.93381926028214002</v>
      </c>
      <c r="D178" s="26">
        <v>1.39171554252199</v>
      </c>
      <c r="E178" s="26">
        <v>21.5270035473829</v>
      </c>
      <c r="F178" s="26">
        <v>4.67425439003995</v>
      </c>
      <c r="G178" s="26">
        <v>3.2302736814426898</v>
      </c>
      <c r="H178" s="26">
        <v>4.3409699175677101</v>
      </c>
      <c r="I178" s="26">
        <v>0.46306400341604798</v>
      </c>
      <c r="J178" s="26">
        <v>80.094312021340599</v>
      </c>
      <c r="K178" s="16">
        <v>1.88103875579182</v>
      </c>
    </row>
    <row r="179" spans="1:11" x14ac:dyDescent="0.2">
      <c r="A179" s="6">
        <v>2006</v>
      </c>
      <c r="B179" s="25" t="s">
        <v>8</v>
      </c>
      <c r="C179" s="23">
        <v>0.99009838843818199</v>
      </c>
      <c r="D179" s="26">
        <v>1.21392961876832</v>
      </c>
      <c r="E179" s="26">
        <v>26.426735683776101</v>
      </c>
      <c r="F179" s="26">
        <v>5.6238037721824696</v>
      </c>
      <c r="G179" s="26">
        <v>4.5535420820825196</v>
      </c>
      <c r="H179" s="26">
        <v>4.3409699175677101</v>
      </c>
      <c r="I179" s="26">
        <v>0.258955259287379</v>
      </c>
      <c r="J179" s="26">
        <v>89.652525600206502</v>
      </c>
      <c r="K179" s="16">
        <v>0.69950791997412398</v>
      </c>
    </row>
    <row r="180" spans="1:11" x14ac:dyDescent="0.2">
      <c r="A180" s="6">
        <v>2007</v>
      </c>
      <c r="B180" s="25" t="s">
        <v>8</v>
      </c>
      <c r="C180" s="23">
        <v>0.91764872032262401</v>
      </c>
      <c r="D180" s="26">
        <v>1.46671554252199</v>
      </c>
      <c r="E180" s="26">
        <v>29.852313038441999</v>
      </c>
      <c r="F180" s="26">
        <v>6.0836198086035402</v>
      </c>
      <c r="G180" s="26">
        <v>4.5351359642395401</v>
      </c>
      <c r="H180" s="26">
        <v>1.75880526710202</v>
      </c>
      <c r="I180" s="26">
        <v>1.03980642406414</v>
      </c>
      <c r="J180" s="26">
        <v>105.557180965493</v>
      </c>
      <c r="K180" s="16">
        <v>3.2282425200244198</v>
      </c>
    </row>
    <row r="181" spans="1:11" x14ac:dyDescent="0.2">
      <c r="A181" s="6">
        <v>2008</v>
      </c>
      <c r="B181" s="25" t="s">
        <v>8</v>
      </c>
      <c r="C181" s="23">
        <v>-1.3010340985767399</v>
      </c>
      <c r="D181" s="26">
        <v>2.0365102639296202</v>
      </c>
      <c r="E181" s="26">
        <v>31.515420256280301</v>
      </c>
      <c r="F181" s="26">
        <v>4.3776828021926901</v>
      </c>
      <c r="G181" s="26">
        <v>6.5979358853561703</v>
      </c>
      <c r="H181" s="26">
        <v>-0.96724119473289605</v>
      </c>
      <c r="I181" s="26">
        <v>-0.28021065616548402</v>
      </c>
      <c r="J181" s="26">
        <v>77.800533516908999</v>
      </c>
      <c r="K181" s="16">
        <v>-17.8712151143996</v>
      </c>
    </row>
    <row r="182" spans="1:11" x14ac:dyDescent="0.2">
      <c r="A182" s="6">
        <v>2009</v>
      </c>
      <c r="B182" s="25" t="s">
        <v>8</v>
      </c>
      <c r="C182" s="23">
        <v>-2.3838247524597098</v>
      </c>
      <c r="D182" s="26">
        <v>2.3335777126099702</v>
      </c>
      <c r="E182" s="26">
        <v>27.946499674219901</v>
      </c>
      <c r="F182" s="26">
        <v>0.29201895382328003</v>
      </c>
      <c r="G182" s="26">
        <v>12.551000284856499</v>
      </c>
      <c r="H182" s="26">
        <v>-3.11005245691039</v>
      </c>
      <c r="I182" s="26">
        <v>-3.2564406699245598</v>
      </c>
      <c r="J182" s="26">
        <v>63.922209792616798</v>
      </c>
      <c r="K182" s="16">
        <v>-13.346323767106</v>
      </c>
    </row>
    <row r="183" spans="1:11" x14ac:dyDescent="0.2">
      <c r="A183" s="6">
        <v>2010</v>
      </c>
      <c r="B183" s="25" t="s">
        <v>8</v>
      </c>
      <c r="C183" s="23">
        <v>-1.89927346336717</v>
      </c>
      <c r="D183" s="26">
        <v>3.0186950146627498</v>
      </c>
      <c r="E183" s="26">
        <v>19.3784840367769</v>
      </c>
      <c r="F183" s="26">
        <v>0.41233856731394503</v>
      </c>
      <c r="G183" s="26">
        <v>12.6765563029997</v>
      </c>
      <c r="H183" s="26">
        <v>1.1151910930307201</v>
      </c>
      <c r="I183" s="26">
        <v>-2.5049105660198201</v>
      </c>
      <c r="J183" s="26">
        <v>76.0440581705532</v>
      </c>
      <c r="K183" s="16">
        <v>-11.444721813153199</v>
      </c>
    </row>
    <row r="184" spans="1:11" x14ac:dyDescent="0.2">
      <c r="A184" s="6">
        <v>2011</v>
      </c>
      <c r="B184" s="25" t="s">
        <v>8</v>
      </c>
      <c r="C184" s="23">
        <v>-1.86657931489007</v>
      </c>
      <c r="D184" s="26">
        <v>2.6379032258064501</v>
      </c>
      <c r="E184" s="26">
        <v>1.4166003040613999</v>
      </c>
      <c r="F184" s="26">
        <v>0.43510173743379699</v>
      </c>
      <c r="G184" s="26">
        <v>11.467011416175399</v>
      </c>
      <c r="H184" s="26">
        <v>1.2115405202869001</v>
      </c>
      <c r="I184" s="26">
        <v>-1.9421169995729901</v>
      </c>
      <c r="J184" s="26">
        <v>73.596076069185003</v>
      </c>
      <c r="K184" s="16">
        <v>-7.8855824144247704</v>
      </c>
    </row>
    <row r="185" spans="1:11" x14ac:dyDescent="0.2">
      <c r="A185" s="6">
        <v>2012</v>
      </c>
      <c r="B185" s="25" t="s">
        <v>8</v>
      </c>
      <c r="C185" s="23">
        <v>-1.6103927691559301</v>
      </c>
      <c r="D185" s="26">
        <v>2.3024926686217002</v>
      </c>
      <c r="E185" s="26">
        <v>-4.4523275175559398</v>
      </c>
      <c r="F185" s="26">
        <v>0.32193626312366003</v>
      </c>
      <c r="G185" s="26">
        <v>19.798409185529302</v>
      </c>
      <c r="H185" s="26">
        <v>1.5699603896798999</v>
      </c>
      <c r="I185" s="26">
        <v>-1.28367414717464</v>
      </c>
      <c r="J185" s="26">
        <v>83.845796403063304</v>
      </c>
      <c r="K185" s="16">
        <v>-3.5683883481196799</v>
      </c>
    </row>
    <row r="186" spans="1:11" x14ac:dyDescent="0.2">
      <c r="A186" s="6">
        <v>2013</v>
      </c>
      <c r="B186" s="25" t="s">
        <v>8</v>
      </c>
      <c r="C186" s="23">
        <v>-0.97225665730381206</v>
      </c>
      <c r="D186" s="26">
        <v>1.90153958944281</v>
      </c>
      <c r="E186" s="26">
        <v>-17.071418229204301</v>
      </c>
      <c r="F186" s="26">
        <v>0.31218061878657999</v>
      </c>
      <c r="G186" s="26">
        <v>21.111159804544499</v>
      </c>
      <c r="H186" s="26">
        <v>1.64190129536452</v>
      </c>
      <c r="I186" s="26">
        <v>-2.1641599848175699</v>
      </c>
      <c r="J186" s="26">
        <v>87.7008863264779</v>
      </c>
      <c r="K186" s="16">
        <v>0.178244315936922</v>
      </c>
    </row>
    <row r="187" spans="1:11" x14ac:dyDescent="0.2">
      <c r="A187" s="6">
        <v>2014</v>
      </c>
      <c r="B187" s="25" t="s">
        <v>8</v>
      </c>
      <c r="C187" s="23">
        <v>-0.51213771242958095</v>
      </c>
      <c r="D187" s="26">
        <v>1.3186217008797601</v>
      </c>
      <c r="E187" s="26">
        <v>-15.862774198219</v>
      </c>
      <c r="F187" s="26">
        <v>0.368112979652512</v>
      </c>
      <c r="G187" s="26">
        <v>21.111159804544499</v>
      </c>
      <c r="H187" s="26">
        <v>2.5296006851514798</v>
      </c>
      <c r="I187" s="26">
        <v>-1.8254020970726299</v>
      </c>
      <c r="J187" s="26">
        <v>91.604164873935005</v>
      </c>
      <c r="K187" s="16">
        <v>9.2239862073919792</v>
      </c>
    </row>
    <row r="188" spans="1:11" x14ac:dyDescent="0.2">
      <c r="A188" s="6">
        <v>2015</v>
      </c>
      <c r="B188" s="25" t="s">
        <v>8</v>
      </c>
      <c r="C188" s="23">
        <v>-0.508112730867607</v>
      </c>
      <c r="D188" s="26">
        <v>1.27917888563049</v>
      </c>
      <c r="E188" s="26">
        <v>-11.705820603778999</v>
      </c>
      <c r="F188" s="26">
        <v>0.39022577348322601</v>
      </c>
      <c r="G188" s="26">
        <v>20.641146438197001</v>
      </c>
      <c r="H188" s="26">
        <v>1.9437961674338899</v>
      </c>
      <c r="I188" s="26">
        <v>-1.26431655358921</v>
      </c>
      <c r="J188" s="26">
        <v>86.597366835900502</v>
      </c>
      <c r="K188" s="16">
        <v>5.6187816529578596</v>
      </c>
    </row>
    <row r="189" spans="1:11" x14ac:dyDescent="0.2">
      <c r="A189" s="6">
        <v>2016</v>
      </c>
      <c r="B189" s="25" t="s">
        <v>8</v>
      </c>
      <c r="C189" s="23">
        <v>-9.7070315564831505E-2</v>
      </c>
      <c r="D189" s="26">
        <v>1.4403225806451601</v>
      </c>
      <c r="E189" s="26">
        <v>-1.9568522406428599</v>
      </c>
      <c r="F189" s="26">
        <v>0.213973799126634</v>
      </c>
      <c r="G189" s="26">
        <v>20.620110874947901</v>
      </c>
      <c r="H189" s="26">
        <v>1.46333369018306</v>
      </c>
      <c r="I189" s="26">
        <v>-0.92726668880770102</v>
      </c>
      <c r="J189" s="26">
        <v>76.583770759831296</v>
      </c>
      <c r="K189" s="16">
        <v>-4.1122804496964802</v>
      </c>
    </row>
    <row r="190" spans="1:11" ht="16" thickBot="1" x14ac:dyDescent="0.25">
      <c r="A190" s="6">
        <v>2017</v>
      </c>
      <c r="B190" s="25" t="s">
        <v>8</v>
      </c>
      <c r="C190" s="23">
        <v>5.7785554003796501E-2</v>
      </c>
      <c r="D190" s="26">
        <v>2.3247067448680299</v>
      </c>
      <c r="E190" s="26">
        <v>1.85640338811265</v>
      </c>
      <c r="F190" s="26">
        <v>0.40323329926600199</v>
      </c>
      <c r="G190" s="26">
        <v>25.086223897276302</v>
      </c>
      <c r="H190" s="26">
        <v>1.36184562680655</v>
      </c>
      <c r="I190" s="26">
        <v>-0.67818000664230904</v>
      </c>
      <c r="J190" s="26">
        <v>86.766027020049904</v>
      </c>
      <c r="K190" s="16">
        <v>4.1665170072931801E-2</v>
      </c>
    </row>
    <row r="191" spans="1:11" x14ac:dyDescent="0.2">
      <c r="A191" s="4">
        <v>2005</v>
      </c>
      <c r="B191" s="5" t="s">
        <v>9</v>
      </c>
      <c r="C191" s="22">
        <v>0.83543606615163302</v>
      </c>
      <c r="D191" s="13">
        <v>1.94261805140466</v>
      </c>
      <c r="E191" s="13">
        <v>7.1227470844622403</v>
      </c>
      <c r="F191" s="13">
        <v>4.2043935868149704</v>
      </c>
      <c r="G191" s="13">
        <v>6.5250910075513602</v>
      </c>
      <c r="H191" s="13">
        <v>3.3840562875443898</v>
      </c>
      <c r="I191" s="13">
        <v>-0.81268668050422799</v>
      </c>
      <c r="J191" s="13">
        <v>74.0473207046509</v>
      </c>
      <c r="K191" s="14">
        <v>4.1472851736893501</v>
      </c>
    </row>
    <row r="192" spans="1:11" x14ac:dyDescent="0.2">
      <c r="A192" s="6">
        <v>2006</v>
      </c>
      <c r="B192" s="25" t="s">
        <v>9</v>
      </c>
      <c r="C192" s="23">
        <v>1.10271568310665</v>
      </c>
      <c r="D192" s="26">
        <v>2.6993424985056702</v>
      </c>
      <c r="E192" s="26">
        <v>8.8323124042879009</v>
      </c>
      <c r="F192" s="26">
        <v>5.2689737623022497</v>
      </c>
      <c r="G192" s="26">
        <v>6.4337073919191203</v>
      </c>
      <c r="H192" s="26">
        <v>2.6296837144469101</v>
      </c>
      <c r="I192" s="26">
        <v>0.28729813192932502</v>
      </c>
      <c r="J192" s="26">
        <v>84.278027566890202</v>
      </c>
      <c r="K192" s="16">
        <v>-0.102895531272594</v>
      </c>
    </row>
    <row r="193" spans="1:11" x14ac:dyDescent="0.2">
      <c r="A193" s="6">
        <v>2007</v>
      </c>
      <c r="B193" s="25" t="s">
        <v>9</v>
      </c>
      <c r="C193" s="23">
        <v>0.73365302705401902</v>
      </c>
      <c r="D193" s="26">
        <v>2.2741581988443902</v>
      </c>
      <c r="E193" s="26">
        <v>11.2477912592766</v>
      </c>
      <c r="F193" s="26">
        <v>4.1021754445891396</v>
      </c>
      <c r="G193" s="26">
        <v>6.4401004843707597</v>
      </c>
      <c r="H193" s="26">
        <v>2.1305300189173901</v>
      </c>
      <c r="I193" s="26">
        <v>-0.494279349972154</v>
      </c>
      <c r="J193" s="26">
        <v>91.236087565416</v>
      </c>
      <c r="K193" s="16">
        <v>-8.1162747849256593</v>
      </c>
    </row>
    <row r="194" spans="1:11" x14ac:dyDescent="0.2">
      <c r="A194" s="6">
        <v>2008</v>
      </c>
      <c r="B194" s="25" t="s">
        <v>9</v>
      </c>
      <c r="C194" s="23">
        <v>-0.71074082777663605</v>
      </c>
      <c r="D194" s="26">
        <v>2.3943016537158801</v>
      </c>
      <c r="E194" s="26">
        <v>13.425609612439599</v>
      </c>
      <c r="F194" s="26">
        <v>0.63623748425524795</v>
      </c>
      <c r="G194" s="26">
        <v>6.4401004843707597</v>
      </c>
      <c r="H194" s="26">
        <v>-0.72035445222528305</v>
      </c>
      <c r="I194" s="26">
        <v>-2.55763681466106</v>
      </c>
      <c r="J194" s="26">
        <v>51.271467531510297</v>
      </c>
      <c r="K194" s="16">
        <v>-9.9494026106555097E-2</v>
      </c>
    </row>
    <row r="195" spans="1:11" x14ac:dyDescent="0.2">
      <c r="A195" s="6">
        <v>2009</v>
      </c>
      <c r="B195" s="25" t="s">
        <v>9</v>
      </c>
      <c r="C195" s="23">
        <v>-2.4974958141174399</v>
      </c>
      <c r="D195" s="26">
        <v>1.6104801753337299</v>
      </c>
      <c r="E195" s="26">
        <v>13.7074449287313</v>
      </c>
      <c r="F195" s="26">
        <v>5.1493349843088503E-2</v>
      </c>
      <c r="G195" s="26">
        <v>11.920108908210199</v>
      </c>
      <c r="H195" s="26">
        <v>9.2263781487506594E-2</v>
      </c>
      <c r="I195" s="26">
        <v>-3.5688503012200701</v>
      </c>
      <c r="J195" s="26">
        <v>60.794575071865602</v>
      </c>
      <c r="K195" s="16">
        <v>-6.2896665107643397</v>
      </c>
    </row>
    <row r="196" spans="1:11" x14ac:dyDescent="0.2">
      <c r="A196" s="6">
        <v>2010</v>
      </c>
      <c r="B196" s="25" t="s">
        <v>9</v>
      </c>
      <c r="C196" s="23">
        <v>-1.8397394471697499</v>
      </c>
      <c r="D196" s="26">
        <v>0.90655509065550799</v>
      </c>
      <c r="E196" s="26">
        <v>0.81900106019553198</v>
      </c>
      <c r="F196" s="26">
        <v>4.3039217779298797E-2</v>
      </c>
      <c r="G196" s="26">
        <v>13.295751978098</v>
      </c>
      <c r="H196" s="26">
        <v>2.78898808536059</v>
      </c>
      <c r="I196" s="26">
        <v>-3.1414721814407902</v>
      </c>
      <c r="J196" s="26">
        <v>59.2761848603228</v>
      </c>
      <c r="K196" s="16">
        <v>-11.0625451762404</v>
      </c>
    </row>
    <row r="197" spans="1:11" x14ac:dyDescent="0.2">
      <c r="A197" s="6">
        <v>2011</v>
      </c>
      <c r="B197" s="25" t="s">
        <v>9</v>
      </c>
      <c r="C197" s="23">
        <v>-1.47424580677378</v>
      </c>
      <c r="D197" s="26">
        <v>2.0988244670252998</v>
      </c>
      <c r="E197" s="26">
        <v>-7.7756508422664696</v>
      </c>
      <c r="F197" s="26">
        <v>6.63521274097469E-2</v>
      </c>
      <c r="G197" s="26">
        <v>16.921011462438699</v>
      </c>
      <c r="H197" s="26">
        <v>2.4174438286150401</v>
      </c>
      <c r="I197" s="26">
        <v>-1.85792031590138</v>
      </c>
      <c r="J197" s="26">
        <v>67.221935578978304</v>
      </c>
      <c r="K197" s="16">
        <v>-10.527375030117399</v>
      </c>
    </row>
    <row r="198" spans="1:11" x14ac:dyDescent="0.2">
      <c r="A198" s="6">
        <v>2012</v>
      </c>
      <c r="B198" s="25" t="s">
        <v>9</v>
      </c>
      <c r="C198" s="23">
        <v>-1.2064374467585099</v>
      </c>
      <c r="D198" s="26">
        <v>2.0468220761107698</v>
      </c>
      <c r="E198" s="26">
        <v>-7.2561550241489101</v>
      </c>
      <c r="F198" s="26">
        <v>5.6745159155440199E-2</v>
      </c>
      <c r="G198" s="26">
        <v>16.526143987484499</v>
      </c>
      <c r="H198" s="26">
        <v>1.7973183764229499</v>
      </c>
      <c r="I198" s="26">
        <v>-1.6713410621171401</v>
      </c>
      <c r="J198" s="26">
        <v>91.914203582221504</v>
      </c>
      <c r="K198" s="16">
        <v>-9.4371926244029503</v>
      </c>
    </row>
    <row r="199" spans="1:11" x14ac:dyDescent="0.2">
      <c r="A199" s="6">
        <v>2013</v>
      </c>
      <c r="B199" s="25" t="s">
        <v>9</v>
      </c>
      <c r="C199" s="23">
        <v>-0.54782187233792501</v>
      </c>
      <c r="D199" s="26">
        <v>1.7925881649730999</v>
      </c>
      <c r="E199" s="26">
        <v>-4.8353751914242</v>
      </c>
      <c r="F199" s="26">
        <v>5.6745159155440199E-2</v>
      </c>
      <c r="G199" s="26">
        <v>20.1310960016847</v>
      </c>
      <c r="H199" s="26">
        <v>1.9091633201686</v>
      </c>
      <c r="I199" s="26">
        <v>-2.4734723839416799</v>
      </c>
      <c r="J199" s="26">
        <v>118.242795017321</v>
      </c>
      <c r="K199" s="16">
        <v>-7.5601286902787699</v>
      </c>
    </row>
    <row r="200" spans="1:11" x14ac:dyDescent="0.2">
      <c r="A200" s="6">
        <v>2014</v>
      </c>
      <c r="B200" s="25" t="s">
        <v>9</v>
      </c>
      <c r="C200" s="23">
        <v>3.7100138060688702E-2</v>
      </c>
      <c r="D200" s="26">
        <v>1.6620840804941199</v>
      </c>
      <c r="E200" s="26">
        <v>-3.1187419012839901</v>
      </c>
      <c r="F200" s="26">
        <v>7.7752396404861202E-2</v>
      </c>
      <c r="G200" s="26">
        <v>23.010996119016799</v>
      </c>
      <c r="H200" s="26">
        <v>3.16899538681092</v>
      </c>
      <c r="I200" s="26">
        <v>-2.16179820786716</v>
      </c>
      <c r="J200" s="26">
        <v>127.662710989901</v>
      </c>
      <c r="K200" s="16">
        <v>3.2498547273835201</v>
      </c>
    </row>
    <row r="201" spans="1:11" ht="16" thickBot="1" x14ac:dyDescent="0.25">
      <c r="A201" s="7">
        <v>2015</v>
      </c>
      <c r="B201" s="8" t="s">
        <v>9</v>
      </c>
      <c r="C201" s="24">
        <v>-0.13560056399259601</v>
      </c>
      <c r="D201" s="17">
        <v>2.0466228332337102</v>
      </c>
      <c r="E201" s="17">
        <v>-1.6486040758628699</v>
      </c>
      <c r="F201" s="17">
        <v>0.31613330202173401</v>
      </c>
      <c r="G201" s="17">
        <v>22.103553055146001</v>
      </c>
      <c r="H201" s="17">
        <v>1.75417344263383</v>
      </c>
      <c r="I201" s="17">
        <v>-2.0834809902293299</v>
      </c>
      <c r="J201" s="17">
        <v>131.34812412471399</v>
      </c>
      <c r="K201" s="18">
        <v>14.645463951131701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A63E-98F8-AC46-B391-7446C6727D98}">
  <dimension ref="A1:L26"/>
  <sheetViews>
    <sheetView workbookViewId="0">
      <selection activeCell="D29" sqref="D29"/>
    </sheetView>
  </sheetViews>
  <sheetFormatPr baseColWidth="10" defaultRowHeight="15" x14ac:dyDescent="0.2"/>
  <cols>
    <col min="1" max="1" width="10.83203125" style="25" customWidth="1"/>
    <col min="2" max="16384" width="10.83203125" style="25"/>
  </cols>
  <sheetData>
    <row r="1" spans="1:12" x14ac:dyDescent="0.2">
      <c r="A1" s="25" t="s">
        <v>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" customHeight="1" x14ac:dyDescent="0.2">
      <c r="A2" s="25">
        <v>1</v>
      </c>
      <c r="B2" s="29" t="s">
        <v>18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15" customHeight="1" x14ac:dyDescent="0.2">
      <c r="B3" s="29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2">
      <c r="A4" s="25">
        <v>2</v>
      </c>
      <c r="B4" s="30" t="s">
        <v>20</v>
      </c>
      <c r="C4" s="30"/>
      <c r="D4" s="30"/>
      <c r="E4" s="30"/>
      <c r="F4" s="30"/>
      <c r="G4" s="30"/>
      <c r="H4" s="30"/>
      <c r="I4" s="28"/>
      <c r="J4" s="28"/>
      <c r="K4" s="28"/>
      <c r="L4" s="28"/>
    </row>
    <row r="5" spans="1:12" x14ac:dyDescent="0.2">
      <c r="B5" s="30"/>
      <c r="C5" s="30"/>
      <c r="D5" s="30"/>
      <c r="E5" s="30"/>
      <c r="F5" s="30"/>
      <c r="G5" s="30"/>
      <c r="H5" s="30"/>
      <c r="I5" s="26"/>
      <c r="J5" s="26"/>
      <c r="K5" s="26"/>
      <c r="L5" s="26"/>
    </row>
    <row r="6" spans="1:12" x14ac:dyDescent="0.2">
      <c r="B6" s="30"/>
      <c r="C6" s="30"/>
      <c r="D6" s="30"/>
      <c r="E6" s="30"/>
      <c r="F6" s="30"/>
      <c r="G6" s="30"/>
      <c r="H6" s="30"/>
      <c r="I6" s="26"/>
      <c r="J6" s="26"/>
      <c r="K6" s="26"/>
      <c r="L6" s="26"/>
    </row>
    <row r="7" spans="1:12" x14ac:dyDescent="0.2">
      <c r="A7" s="25">
        <v>3</v>
      </c>
      <c r="B7" s="31" t="s">
        <v>49</v>
      </c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2" x14ac:dyDescent="0.2"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12" x14ac:dyDescent="0.2">
      <c r="A9" s="25">
        <v>4</v>
      </c>
      <c r="B9" s="32" t="s">
        <v>25</v>
      </c>
      <c r="C9" s="32"/>
      <c r="D9" s="32"/>
      <c r="E9" s="32"/>
      <c r="F9" s="32"/>
      <c r="G9" s="32"/>
      <c r="H9" s="32"/>
      <c r="I9" s="26"/>
      <c r="J9" s="26"/>
      <c r="K9" s="26"/>
      <c r="L9" s="26"/>
    </row>
    <row r="10" spans="1:12" x14ac:dyDescent="0.2">
      <c r="B10" s="32"/>
      <c r="C10" s="32"/>
      <c r="D10" s="32"/>
      <c r="E10" s="32"/>
      <c r="F10" s="32"/>
      <c r="G10" s="32"/>
      <c r="H10" s="32"/>
      <c r="I10" s="26"/>
      <c r="J10" s="26"/>
      <c r="K10" s="26"/>
      <c r="L10" s="26"/>
    </row>
    <row r="11" spans="1:12" x14ac:dyDescent="0.2"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2" spans="1:12" x14ac:dyDescent="0.2">
      <c r="A12" s="25" t="s">
        <v>24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spans="1:12" x14ac:dyDescent="0.2">
      <c r="A13" s="25" t="s">
        <v>27</v>
      </c>
      <c r="B13" s="25" t="s">
        <v>28</v>
      </c>
      <c r="C13" s="26"/>
      <c r="D13" s="26" t="s">
        <v>29</v>
      </c>
      <c r="E13" s="26"/>
      <c r="F13" s="26"/>
      <c r="G13" s="26"/>
      <c r="H13" s="26"/>
      <c r="I13" s="26"/>
      <c r="J13" s="26"/>
      <c r="K13" s="26"/>
      <c r="L13" s="26"/>
    </row>
    <row r="14" spans="1:12" x14ac:dyDescent="0.2">
      <c r="A14" s="25" t="str" cm="1">
        <f t="array" ref="A14:A22">TRANSPOSE(DataToTrainModel!C1:K1)</f>
        <v>BDG</v>
      </c>
      <c r="B14" s="25" t="s">
        <v>26</v>
      </c>
      <c r="C14" s="26"/>
      <c r="D14" s="26" t="s">
        <v>44</v>
      </c>
      <c r="E14" s="26"/>
      <c r="F14" s="26"/>
      <c r="G14" s="26"/>
      <c r="H14" s="26"/>
      <c r="I14" s="26"/>
      <c r="J14" s="26"/>
      <c r="K14" s="26"/>
      <c r="L14" s="26"/>
    </row>
    <row r="15" spans="1:12" x14ac:dyDescent="0.2">
      <c r="A15" s="25" t="str">
        <v>CoreInflation</v>
      </c>
      <c r="B15" s="25" t="s">
        <v>30</v>
      </c>
      <c r="C15" s="26"/>
      <c r="D15" s="26" t="s">
        <v>45</v>
      </c>
      <c r="G15" s="26"/>
      <c r="H15" s="26"/>
      <c r="I15" s="26"/>
      <c r="J15" s="26"/>
      <c r="K15" s="26"/>
      <c r="L15" s="26"/>
    </row>
    <row r="16" spans="1:12" x14ac:dyDescent="0.2">
      <c r="A16" s="25" t="str">
        <v>∆Debt/GDP</v>
      </c>
      <c r="B16" s="25" t="s">
        <v>31</v>
      </c>
      <c r="C16" s="26"/>
      <c r="D16" s="26" t="s">
        <v>46</v>
      </c>
      <c r="G16" s="26"/>
      <c r="H16" s="26"/>
      <c r="I16" s="26"/>
      <c r="J16" s="26"/>
      <c r="K16" s="26"/>
      <c r="L16" s="26"/>
    </row>
    <row r="17" spans="1:12" x14ac:dyDescent="0.2">
      <c r="A17" s="25" t="str">
        <v>SRi</v>
      </c>
      <c r="B17" s="25" t="s">
        <v>32</v>
      </c>
      <c r="C17" s="26"/>
      <c r="D17" s="26" t="s">
        <v>47</v>
      </c>
      <c r="E17" s="26"/>
      <c r="F17" s="26"/>
      <c r="G17" s="26"/>
      <c r="H17" s="26"/>
      <c r="I17" s="26"/>
      <c r="J17" s="26"/>
      <c r="K17" s="26"/>
      <c r="L17" s="26"/>
    </row>
    <row r="18" spans="1:12" x14ac:dyDescent="0.2">
      <c r="A18" s="25" t="str">
        <v>M0/GDP</v>
      </c>
      <c r="B18" s="25" t="s">
        <v>33</v>
      </c>
      <c r="D18" s="25" t="s">
        <v>48</v>
      </c>
      <c r="E18" s="26"/>
      <c r="F18" s="26"/>
    </row>
    <row r="19" spans="1:12" x14ac:dyDescent="0.2">
      <c r="A19" s="25" t="str">
        <v>R.GDPg</v>
      </c>
      <c r="B19" s="25" t="s">
        <v>34</v>
      </c>
      <c r="D19" s="25" t="s">
        <v>50</v>
      </c>
      <c r="E19" s="26"/>
      <c r="F19" s="26"/>
    </row>
    <row r="20" spans="1:12" x14ac:dyDescent="0.2">
      <c r="A20" s="25" t="str">
        <v>Curve</v>
      </c>
      <c r="B20" s="25" t="s">
        <v>35</v>
      </c>
      <c r="D20" s="25" t="s">
        <v>51</v>
      </c>
    </row>
    <row r="21" spans="1:12" x14ac:dyDescent="0.2">
      <c r="A21" s="25" t="str">
        <v>Equity</v>
      </c>
      <c r="B21" s="25" t="s">
        <v>36</v>
      </c>
      <c r="D21" s="25" t="s">
        <v>52</v>
      </c>
    </row>
    <row r="22" spans="1:12" x14ac:dyDescent="0.2">
      <c r="A22" s="25" t="str">
        <v>R.FXxTWI</v>
      </c>
      <c r="B22" s="25" t="s">
        <v>37</v>
      </c>
      <c r="D22" s="25" t="s">
        <v>53</v>
      </c>
    </row>
    <row r="24" spans="1:12" x14ac:dyDescent="0.2">
      <c r="A24" s="25" t="s">
        <v>54</v>
      </c>
    </row>
    <row r="25" spans="1:12" x14ac:dyDescent="0.2">
      <c r="A25" s="25" t="s">
        <v>56</v>
      </c>
      <c r="C25" s="25" t="s">
        <v>55</v>
      </c>
    </row>
    <row r="26" spans="1:12" x14ac:dyDescent="0.2">
      <c r="A26" s="31" t="s">
        <v>57</v>
      </c>
    </row>
  </sheetData>
  <mergeCells count="2">
    <mergeCell ref="B4:H6"/>
    <mergeCell ref="B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DataToPredict</vt:lpstr>
      <vt:lpstr>DataToTrainModel</vt:lpstr>
      <vt:lpstr>Notes&amp;Glossary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shiffman</dc:creator>
  <cp:lastModifiedBy>ruben shiffman</cp:lastModifiedBy>
  <dcterms:created xsi:type="dcterms:W3CDTF">2025-11-19T21:28:55Z</dcterms:created>
  <dcterms:modified xsi:type="dcterms:W3CDTF">2025-11-20T00:05:58Z</dcterms:modified>
</cp:coreProperties>
</file>