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kelborggren/Desktop/Recruiting/DebtCycle/"/>
    </mc:Choice>
  </mc:AlternateContent>
  <xr:revisionPtr revIDLastSave="0" documentId="13_ncr:1_{AD41DBF9-888E-6C46-9A39-4D42D3C0DA8E}" xr6:coauthVersionLast="47" xr6:coauthVersionMax="47" xr10:uidLastSave="{00000000-0000-0000-0000-000000000000}"/>
  <bookViews>
    <workbookView xWindow="20" yWindow="760" windowWidth="30220" windowHeight="18880" activeTab="2" xr2:uid="{57296FCD-C6A4-4C6B-9A10-7630B9A7CD20}"/>
  </bookViews>
  <sheets>
    <sheet name="Sheet1" sheetId="1" r:id="rId1"/>
    <sheet name="Database" sheetId="2" r:id="rId2"/>
    <sheet name="Forecast" sheetId="3" r:id="rId3"/>
    <sheet name="Database_filler" sheetId="4" r:id="rId4"/>
    <sheet name="Extra" sheetId="5" r:id="rId5"/>
    <sheet name="Sheet4" sheetId="8" r:id="rId6"/>
    <sheet name="Database_filler (2)" sheetId="7" r:id="rId7"/>
    <sheet name="Sheet20" sheetId="26" r:id="rId8"/>
    <sheet name="Sheet21" sheetId="27" r:id="rId9"/>
    <sheet name="Sheet22" sheetId="28" r:id="rId10"/>
    <sheet name="Sheet23" sheetId="29" r:id="rId11"/>
    <sheet name="Sheet24" sheetId="30" r:id="rId12"/>
    <sheet name="Database_filler (3)" sheetId="9" r:id="rId13"/>
    <sheet name="Ng_All" sheetId="23" r:id="rId14"/>
    <sheet name="All" sheetId="22" r:id="rId1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3" l="1" a="1"/>
  <c r="K12" i="3"/>
  <c r="J20" i="3"/>
  <c r="J19" i="3"/>
  <c r="J18" i="3"/>
  <c r="J17" i="3"/>
  <c r="J16" i="3"/>
  <c r="J15" i="3"/>
  <c r="J14" i="3"/>
  <c r="J13" i="3"/>
  <c r="M13" i="3"/>
  <c r="Y13" i="3"/>
  <c r="M14" i="3"/>
  <c r="Y14" i="3"/>
  <c r="M15" i="3"/>
  <c r="Y15" i="3"/>
  <c r="M16" i="3"/>
  <c r="Y16" i="3"/>
  <c r="M17" i="3"/>
  <c r="Y17" i="3"/>
  <c r="M18" i="3"/>
  <c r="Y18" i="3"/>
  <c r="M19" i="3"/>
  <c r="Y19" i="3"/>
  <c r="M20" i="3"/>
  <c r="Y20" i="3"/>
  <c r="Y12" i="3"/>
  <c r="Z13" i="3"/>
  <c r="Z14" i="3"/>
  <c r="Z15" i="3"/>
  <c r="Z16" i="3"/>
  <c r="Z17" i="3"/>
  <c r="Z18" i="3"/>
  <c r="Z19" i="3"/>
  <c r="Z20" i="3"/>
  <c r="Z12" i="3"/>
  <c r="N12" i="3"/>
  <c r="N13" i="3"/>
  <c r="N14" i="3"/>
  <c r="N15" i="3"/>
  <c r="N16" i="3"/>
  <c r="N17" i="3"/>
  <c r="N18" i="3"/>
  <c r="N19" i="3"/>
  <c r="N20" i="3"/>
  <c r="X13" i="3"/>
  <c r="X14" i="3"/>
  <c r="X15" i="3"/>
  <c r="X16" i="3"/>
  <c r="X17" i="3"/>
  <c r="X18" i="3"/>
  <c r="X19" i="3"/>
  <c r="X20" i="3"/>
  <c r="X12" i="3"/>
  <c r="W13" i="3"/>
  <c r="W14" i="3"/>
  <c r="W15" i="3"/>
  <c r="W16" i="3"/>
  <c r="W17" i="3"/>
  <c r="W18" i="3"/>
  <c r="W19" i="3"/>
  <c r="W20" i="3"/>
  <c r="W12" i="3"/>
  <c r="V13" i="3"/>
  <c r="V14" i="3"/>
  <c r="V15" i="3"/>
  <c r="V16" i="3"/>
  <c r="V17" i="3"/>
  <c r="V18" i="3"/>
  <c r="V19" i="3"/>
  <c r="V20" i="3"/>
  <c r="V12" i="3"/>
  <c r="U13" i="3"/>
  <c r="U14" i="3"/>
  <c r="U15" i="3"/>
  <c r="U16" i="3"/>
  <c r="U17" i="3"/>
  <c r="U18" i="3"/>
  <c r="U19" i="3"/>
  <c r="U20" i="3"/>
  <c r="U12" i="3"/>
  <c r="T11" i="3"/>
  <c r="T13" i="3"/>
  <c r="T14" i="3"/>
  <c r="T15" i="3"/>
  <c r="T16" i="3"/>
  <c r="T17" i="3"/>
  <c r="T18" i="3"/>
  <c r="T19" i="3"/>
  <c r="T20" i="3"/>
  <c r="T12" i="3"/>
  <c r="S13" i="3"/>
  <c r="S14" i="3"/>
  <c r="S15" i="3"/>
  <c r="S16" i="3"/>
  <c r="S17" i="3"/>
  <c r="S18" i="3"/>
  <c r="S19" i="3"/>
  <c r="S20" i="3"/>
  <c r="S12" i="3"/>
  <c r="R13" i="3"/>
  <c r="R14" i="3"/>
  <c r="R15" i="3"/>
  <c r="R16" i="3"/>
  <c r="R17" i="3"/>
  <c r="R18" i="3"/>
  <c r="R19" i="3"/>
  <c r="R20" i="3"/>
  <c r="R12" i="3"/>
  <c r="Q13" i="3"/>
  <c r="Q14" i="3"/>
  <c r="Q15" i="3"/>
  <c r="Q16" i="3"/>
  <c r="Q17" i="3"/>
  <c r="Q18" i="3"/>
  <c r="Q19" i="3"/>
  <c r="Q20" i="3"/>
  <c r="Q12" i="3"/>
  <c r="P13" i="3"/>
  <c r="P14" i="3"/>
  <c r="P15" i="3"/>
  <c r="P16" i="3"/>
  <c r="P17" i="3"/>
  <c r="P18" i="3"/>
  <c r="P19" i="3"/>
  <c r="P20" i="3"/>
  <c r="P12" i="3"/>
  <c r="O13" i="3"/>
  <c r="O14" i="3"/>
  <c r="O15" i="3"/>
  <c r="O16" i="3"/>
  <c r="O17" i="3"/>
  <c r="O18" i="3"/>
  <c r="O19" i="3"/>
  <c r="O20" i="3"/>
  <c r="O12" i="3"/>
  <c r="B192" i="9"/>
  <c r="B193" i="9"/>
  <c r="B194" i="9"/>
  <c r="B195" i="9"/>
  <c r="B196" i="9"/>
  <c r="B197" i="9"/>
  <c r="B198" i="9"/>
  <c r="B199" i="9"/>
  <c r="B200" i="9"/>
  <c r="B201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64" i="9"/>
  <c r="B152" i="9"/>
  <c r="B153" i="9"/>
  <c r="B154" i="9"/>
  <c r="B155" i="9"/>
  <c r="B156" i="9"/>
  <c r="B157" i="9"/>
  <c r="B158" i="9"/>
  <c r="B159" i="9"/>
  <c r="B160" i="9"/>
  <c r="B161" i="9"/>
  <c r="B162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84" i="9"/>
  <c r="B85" i="9"/>
  <c r="B86" i="9"/>
  <c r="B87" i="9"/>
  <c r="B88" i="9"/>
  <c r="B89" i="9"/>
  <c r="B90" i="9"/>
  <c r="B91" i="9"/>
  <c r="B92" i="9"/>
  <c r="B93" i="9"/>
  <c r="B94" i="9"/>
  <c r="B95" i="9"/>
  <c r="B71" i="9"/>
  <c r="B72" i="9"/>
  <c r="B73" i="9"/>
  <c r="B74" i="9"/>
  <c r="B75" i="9"/>
  <c r="B76" i="9"/>
  <c r="B77" i="9"/>
  <c r="B78" i="9"/>
  <c r="B79" i="9"/>
  <c r="B80" i="9"/>
  <c r="B81" i="9"/>
  <c r="B82" i="9"/>
  <c r="B62" i="9"/>
  <c r="B63" i="9"/>
  <c r="B64" i="9"/>
  <c r="B65" i="9"/>
  <c r="B66" i="9"/>
  <c r="B67" i="9"/>
  <c r="B68" i="9"/>
  <c r="B69" i="9"/>
  <c r="B49" i="9"/>
  <c r="B50" i="9"/>
  <c r="B51" i="9"/>
  <c r="B52" i="9"/>
  <c r="B53" i="9"/>
  <c r="B54" i="9"/>
  <c r="B55" i="9"/>
  <c r="B56" i="9"/>
  <c r="B57" i="9"/>
  <c r="B58" i="9"/>
  <c r="B59" i="9"/>
  <c r="B36" i="9"/>
  <c r="B37" i="9"/>
  <c r="B38" i="9"/>
  <c r="B39" i="9"/>
  <c r="B40" i="9"/>
  <c r="B41" i="9"/>
  <c r="B42" i="9"/>
  <c r="B43" i="9"/>
  <c r="B44" i="9"/>
  <c r="B45" i="9"/>
  <c r="B46" i="9"/>
  <c r="B47" i="9"/>
  <c r="B26" i="9"/>
  <c r="B27" i="9"/>
  <c r="B28" i="9"/>
  <c r="B29" i="9"/>
  <c r="B30" i="9"/>
  <c r="B31" i="9"/>
  <c r="B32" i="9"/>
  <c r="B33" i="9"/>
  <c r="B34" i="9"/>
  <c r="B25" i="9"/>
  <c r="B24" i="9"/>
  <c r="B14" i="9"/>
  <c r="B15" i="9"/>
  <c r="B16" i="9"/>
  <c r="B17" i="9"/>
  <c r="B18" i="9"/>
  <c r="B19" i="9"/>
  <c r="B20" i="9"/>
  <c r="B21" i="9"/>
  <c r="B22" i="9"/>
  <c r="B13" i="9"/>
  <c r="D12" i="9" a="1"/>
  <c r="D12" i="9"/>
  <c r="B2" i="9"/>
  <c r="B3" i="9"/>
  <c r="B4" i="9"/>
  <c r="B5" i="9"/>
  <c r="B6" i="9"/>
  <c r="B7" i="9"/>
  <c r="B8" i="9"/>
  <c r="B9" i="9"/>
  <c r="B10" i="9"/>
  <c r="B11" i="9"/>
  <c r="N4" i="7"/>
  <c r="N5" i="7"/>
  <c r="N6" i="7"/>
  <c r="N7" i="7"/>
  <c r="N8" i="7"/>
  <c r="N9" i="7"/>
  <c r="N10" i="7"/>
  <c r="N11" i="7"/>
  <c r="N13" i="7"/>
  <c r="N14" i="7"/>
  <c r="N15" i="7"/>
  <c r="N16" i="7"/>
  <c r="N17" i="7"/>
  <c r="N18" i="7"/>
  <c r="N19" i="7"/>
  <c r="N20" i="7"/>
  <c r="N21" i="7"/>
  <c r="N22" i="7"/>
  <c r="N24" i="7"/>
  <c r="N25" i="7"/>
  <c r="N26" i="7"/>
  <c r="N27" i="7"/>
  <c r="N28" i="7"/>
  <c r="N29" i="7"/>
  <c r="N30" i="7"/>
  <c r="N31" i="7"/>
  <c r="N32" i="7"/>
  <c r="N33" i="7"/>
  <c r="N34" i="7"/>
  <c r="N36" i="7"/>
  <c r="N37" i="7"/>
  <c r="N38" i="7"/>
  <c r="N39" i="7"/>
  <c r="N40" i="7"/>
  <c r="N41" i="7"/>
  <c r="N42" i="7"/>
  <c r="N43" i="7"/>
  <c r="N44" i="7"/>
  <c r="N45" i="7"/>
  <c r="N46" i="7"/>
  <c r="N47" i="7"/>
  <c r="N49" i="7"/>
  <c r="N50" i="7"/>
  <c r="N51" i="7"/>
  <c r="N52" i="7"/>
  <c r="N53" i="7"/>
  <c r="N54" i="7"/>
  <c r="N55" i="7"/>
  <c r="N56" i="7"/>
  <c r="N57" i="7"/>
  <c r="N58" i="7"/>
  <c r="N59" i="7"/>
  <c r="N60" i="7"/>
  <c r="N62" i="7"/>
  <c r="N63" i="7"/>
  <c r="N64" i="7"/>
  <c r="N65" i="7"/>
  <c r="N66" i="7"/>
  <c r="N67" i="7"/>
  <c r="N68" i="7"/>
  <c r="N69" i="7"/>
  <c r="N71" i="7"/>
  <c r="N72" i="7"/>
  <c r="N73" i="7"/>
  <c r="N74" i="7"/>
  <c r="N75" i="7"/>
  <c r="N76" i="7"/>
  <c r="N77" i="7"/>
  <c r="N78" i="7"/>
  <c r="N79" i="7"/>
  <c r="N80" i="7"/>
  <c r="N81" i="7"/>
  <c r="N82" i="7"/>
  <c r="N84" i="7"/>
  <c r="N85" i="7"/>
  <c r="N86" i="7"/>
  <c r="N87" i="7"/>
  <c r="N88" i="7"/>
  <c r="N89" i="7"/>
  <c r="N90" i="7"/>
  <c r="N91" i="7"/>
  <c r="N92" i="7"/>
  <c r="N93" i="7"/>
  <c r="N94" i="7"/>
  <c r="N95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2" i="7"/>
  <c r="N193" i="7"/>
  <c r="N194" i="7"/>
  <c r="N195" i="7"/>
  <c r="N196" i="7"/>
  <c r="N197" i="7"/>
  <c r="N198" i="7"/>
  <c r="N199" i="7"/>
  <c r="N200" i="7"/>
  <c r="N201" i="7"/>
  <c r="N3" i="7"/>
  <c r="A23" i="3" a="1"/>
  <c r="A23" i="3"/>
  <c r="L11" i="3"/>
  <c r="A11" i="3" a="1"/>
  <c r="A11" i="3"/>
  <c r="A12" i="3" a="1"/>
  <c r="A12" i="3"/>
  <c r="I14" i="3"/>
  <c r="I15" i="3"/>
  <c r="I16" i="3"/>
  <c r="I17" i="3"/>
  <c r="I18" i="3"/>
  <c r="I19" i="3"/>
  <c r="I20" i="3"/>
  <c r="I13" i="3"/>
  <c r="B192" i="7"/>
  <c r="B193" i="7"/>
  <c r="B194" i="7"/>
  <c r="B195" i="7"/>
  <c r="B196" i="7"/>
  <c r="B197" i="7"/>
  <c r="B198" i="7"/>
  <c r="B199" i="7"/>
  <c r="B200" i="7"/>
  <c r="B201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78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53" i="7"/>
  <c r="B154" i="7"/>
  <c r="B155" i="7"/>
  <c r="B156" i="7"/>
  <c r="B157" i="7"/>
  <c r="B158" i="7"/>
  <c r="B159" i="7"/>
  <c r="B160" i="7"/>
  <c r="B161" i="7"/>
  <c r="B162" i="7"/>
  <c r="B152" i="7"/>
  <c r="B139" i="7"/>
  <c r="B140" i="7"/>
  <c r="B141" i="7"/>
  <c r="B142" i="7"/>
  <c r="B143" i="7"/>
  <c r="B144" i="7"/>
  <c r="B145" i="7"/>
  <c r="B146" i="7"/>
  <c r="B147" i="7"/>
  <c r="B148" i="7"/>
  <c r="B149" i="7"/>
  <c r="B138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84" i="7"/>
  <c r="B85" i="7"/>
  <c r="B86" i="7"/>
  <c r="B87" i="7"/>
  <c r="B88" i="7"/>
  <c r="B89" i="7"/>
  <c r="B90" i="7"/>
  <c r="B91" i="7"/>
  <c r="B92" i="7"/>
  <c r="B93" i="7"/>
  <c r="B94" i="7"/>
  <c r="B95" i="7"/>
  <c r="B71" i="7"/>
  <c r="B72" i="7"/>
  <c r="B73" i="7"/>
  <c r="B74" i="7"/>
  <c r="B75" i="7"/>
  <c r="B76" i="7"/>
  <c r="B77" i="7"/>
  <c r="B78" i="7"/>
  <c r="B79" i="7"/>
  <c r="B80" i="7"/>
  <c r="B81" i="7"/>
  <c r="B82" i="7"/>
  <c r="B62" i="7"/>
  <c r="B63" i="7"/>
  <c r="B64" i="7"/>
  <c r="B65" i="7"/>
  <c r="B66" i="7"/>
  <c r="B67" i="7"/>
  <c r="B68" i="7"/>
  <c r="B69" i="7"/>
  <c r="B49" i="7"/>
  <c r="B50" i="7"/>
  <c r="B51" i="7"/>
  <c r="B52" i="7"/>
  <c r="B53" i="7"/>
  <c r="B54" i="7"/>
  <c r="B55" i="7"/>
  <c r="B56" i="7"/>
  <c r="B57" i="7"/>
  <c r="B58" i="7"/>
  <c r="B59" i="7"/>
  <c r="B36" i="7"/>
  <c r="B37" i="7"/>
  <c r="B38" i="7"/>
  <c r="B39" i="7"/>
  <c r="B40" i="7"/>
  <c r="B41" i="7"/>
  <c r="B42" i="7"/>
  <c r="B43" i="7"/>
  <c r="B44" i="7"/>
  <c r="B45" i="7"/>
  <c r="B46" i="7"/>
  <c r="B47" i="7"/>
  <c r="B25" i="7"/>
  <c r="B26" i="7"/>
  <c r="B27" i="7"/>
  <c r="B28" i="7"/>
  <c r="B29" i="7"/>
  <c r="B30" i="7"/>
  <c r="B31" i="7"/>
  <c r="B32" i="7"/>
  <c r="B33" i="7"/>
  <c r="B34" i="7"/>
  <c r="B24" i="7"/>
  <c r="M13" i="7" a="1"/>
  <c r="M13" i="7"/>
  <c r="M12" i="7"/>
  <c r="B13" i="7"/>
  <c r="B14" i="7"/>
  <c r="B15" i="7"/>
  <c r="B16" i="7"/>
  <c r="B17" i="7"/>
  <c r="B18" i="7"/>
  <c r="B19" i="7"/>
  <c r="B20" i="7"/>
  <c r="B21" i="7"/>
  <c r="B22" i="7"/>
  <c r="D12" i="7" a="1"/>
  <c r="D12" i="7"/>
  <c r="B3" i="7"/>
  <c r="B4" i="7"/>
  <c r="B5" i="7"/>
  <c r="B6" i="7"/>
  <c r="B7" i="7"/>
  <c r="B8" i="7"/>
  <c r="B9" i="7"/>
  <c r="B10" i="7"/>
  <c r="B11" i="7"/>
  <c r="B2" i="7"/>
  <c r="N4" i="4"/>
  <c r="N5" i="4"/>
  <c r="N6" i="4"/>
  <c r="N7" i="4"/>
  <c r="N8" i="4"/>
  <c r="N9" i="4"/>
  <c r="N10" i="4"/>
  <c r="N11" i="4"/>
  <c r="N13" i="4"/>
  <c r="N14" i="4"/>
  <c r="N15" i="4"/>
  <c r="N16" i="4"/>
  <c r="N17" i="4"/>
  <c r="N18" i="4"/>
  <c r="N19" i="4"/>
  <c r="N20" i="4"/>
  <c r="N21" i="4"/>
  <c r="N22" i="4"/>
  <c r="N24" i="4"/>
  <c r="N25" i="4"/>
  <c r="N26" i="4"/>
  <c r="N27" i="4"/>
  <c r="N28" i="4"/>
  <c r="N29" i="4"/>
  <c r="N30" i="4"/>
  <c r="N31" i="4"/>
  <c r="N32" i="4"/>
  <c r="N33" i="4"/>
  <c r="N34" i="4"/>
  <c r="N36" i="4"/>
  <c r="N37" i="4"/>
  <c r="N38" i="4"/>
  <c r="N39" i="4"/>
  <c r="N40" i="4"/>
  <c r="N41" i="4"/>
  <c r="N42" i="4"/>
  <c r="N43" i="4"/>
  <c r="N44" i="4"/>
  <c r="N45" i="4"/>
  <c r="N46" i="4"/>
  <c r="N47" i="4"/>
  <c r="N49" i="4"/>
  <c r="N50" i="4"/>
  <c r="N51" i="4"/>
  <c r="N52" i="4"/>
  <c r="N53" i="4"/>
  <c r="N54" i="4"/>
  <c r="N55" i="4"/>
  <c r="N56" i="4"/>
  <c r="N57" i="4"/>
  <c r="N58" i="4"/>
  <c r="N59" i="4"/>
  <c r="N60" i="4"/>
  <c r="N62" i="4"/>
  <c r="N63" i="4"/>
  <c r="N64" i="4"/>
  <c r="N65" i="4"/>
  <c r="N66" i="4"/>
  <c r="N67" i="4"/>
  <c r="N68" i="4"/>
  <c r="N69" i="4"/>
  <c r="N71" i="4"/>
  <c r="N72" i="4"/>
  <c r="N73" i="4"/>
  <c r="N74" i="4"/>
  <c r="N75" i="4"/>
  <c r="N76" i="4"/>
  <c r="N77" i="4"/>
  <c r="N78" i="4"/>
  <c r="N79" i="4"/>
  <c r="N80" i="4"/>
  <c r="N81" i="4"/>
  <c r="N82" i="4"/>
  <c r="N84" i="4"/>
  <c r="N85" i="4"/>
  <c r="N86" i="4"/>
  <c r="N87" i="4"/>
  <c r="N88" i="4"/>
  <c r="N89" i="4"/>
  <c r="N90" i="4"/>
  <c r="N91" i="4"/>
  <c r="N92" i="4"/>
  <c r="N93" i="4"/>
  <c r="N94" i="4"/>
  <c r="N95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2" i="4"/>
  <c r="N193" i="4"/>
  <c r="N194" i="4"/>
  <c r="N195" i="4"/>
  <c r="N196" i="4"/>
  <c r="N197" i="4"/>
  <c r="N198" i="4"/>
  <c r="N199" i="4"/>
  <c r="N200" i="4"/>
  <c r="N201" i="4"/>
  <c r="N3" i="4"/>
  <c r="C35" i="5" a="1"/>
  <c r="C35" i="5"/>
  <c r="C23" i="5" a="1"/>
  <c r="C23" i="5"/>
  <c r="M13" i="4" a="1"/>
  <c r="M13" i="4"/>
  <c r="M12" i="4"/>
  <c r="D12" i="4" a="1"/>
  <c r="D12" i="4"/>
  <c r="B192" i="4"/>
  <c r="B193" i="4"/>
  <c r="B194" i="4"/>
  <c r="B195" i="4"/>
  <c r="B196" i="4"/>
  <c r="B197" i="4"/>
  <c r="B198" i="4"/>
  <c r="B199" i="4"/>
  <c r="B200" i="4"/>
  <c r="B201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52" i="4"/>
  <c r="B153" i="4"/>
  <c r="B154" i="4"/>
  <c r="B155" i="4"/>
  <c r="B156" i="4"/>
  <c r="B157" i="4"/>
  <c r="B158" i="4"/>
  <c r="B159" i="4"/>
  <c r="B160" i="4"/>
  <c r="B161" i="4"/>
  <c r="B162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85" i="4"/>
  <c r="B86" i="4"/>
  <c r="B87" i="4"/>
  <c r="B88" i="4"/>
  <c r="B89" i="4"/>
  <c r="B90" i="4"/>
  <c r="B91" i="4"/>
  <c r="B92" i="4"/>
  <c r="B93" i="4"/>
  <c r="B94" i="4"/>
  <c r="B95" i="4"/>
  <c r="B84" i="4"/>
  <c r="B71" i="4"/>
  <c r="B72" i="4"/>
  <c r="B73" i="4"/>
  <c r="B74" i="4"/>
  <c r="B75" i="4"/>
  <c r="B76" i="4"/>
  <c r="B77" i="4"/>
  <c r="B78" i="4"/>
  <c r="B79" i="4"/>
  <c r="B80" i="4"/>
  <c r="B81" i="4"/>
  <c r="B82" i="4"/>
  <c r="B62" i="4"/>
  <c r="B63" i="4"/>
  <c r="B64" i="4"/>
  <c r="B65" i="4"/>
  <c r="B66" i="4"/>
  <c r="B67" i="4"/>
  <c r="B68" i="4"/>
  <c r="B69" i="4"/>
  <c r="B49" i="4"/>
  <c r="B50" i="4"/>
  <c r="B51" i="4"/>
  <c r="B52" i="4"/>
  <c r="B53" i="4"/>
  <c r="B54" i="4"/>
  <c r="B55" i="4"/>
  <c r="B56" i="4"/>
  <c r="B57" i="4"/>
  <c r="B58" i="4"/>
  <c r="B59" i="4"/>
  <c r="B36" i="4"/>
  <c r="B37" i="4"/>
  <c r="B38" i="4"/>
  <c r="B39" i="4"/>
  <c r="B40" i="4"/>
  <c r="B41" i="4"/>
  <c r="B42" i="4"/>
  <c r="B43" i="4"/>
  <c r="B44" i="4"/>
  <c r="B45" i="4"/>
  <c r="B46" i="4"/>
  <c r="B47" i="4"/>
  <c r="B24" i="4"/>
  <c r="B25" i="4"/>
  <c r="B26" i="4"/>
  <c r="B27" i="4"/>
  <c r="B28" i="4"/>
  <c r="B29" i="4"/>
  <c r="B30" i="4"/>
  <c r="B31" i="4"/>
  <c r="B32" i="4"/>
  <c r="B33" i="4"/>
  <c r="B34" i="4"/>
  <c r="B14" i="4"/>
  <c r="B15" i="4"/>
  <c r="B16" i="4"/>
  <c r="B17" i="4"/>
  <c r="B18" i="4"/>
  <c r="B19" i="4"/>
  <c r="B20" i="4"/>
  <c r="B21" i="4"/>
  <c r="B22" i="4"/>
  <c r="B13" i="4"/>
  <c r="B2" i="4"/>
  <c r="B3" i="4"/>
  <c r="B4" i="4"/>
  <c r="B5" i="4"/>
  <c r="B6" i="4"/>
  <c r="B7" i="4"/>
  <c r="B8" i="4"/>
  <c r="B9" i="4"/>
  <c r="B10" i="4"/>
  <c r="B11" i="4"/>
  <c r="A152" i="2"/>
  <c r="Y2" i="3" a="1"/>
  <c r="Y2" i="3"/>
  <c r="W2" i="3" a="1"/>
  <c r="W2" i="3"/>
  <c r="N10" i="3"/>
  <c r="R1" i="3" a="1"/>
  <c r="O2" i="3" a="1"/>
  <c r="O2" i="3"/>
  <c r="P2" i="3"/>
  <c r="A192" i="2"/>
  <c r="A193" i="2"/>
  <c r="A194" i="2"/>
  <c r="A195" i="2"/>
  <c r="A196" i="2"/>
  <c r="A197" i="2"/>
  <c r="A198" i="2"/>
  <c r="A199" i="2"/>
  <c r="A200" i="2"/>
  <c r="A201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53" i="2"/>
  <c r="A154" i="2"/>
  <c r="A155" i="2"/>
  <c r="A156" i="2"/>
  <c r="A157" i="2"/>
  <c r="A158" i="2"/>
  <c r="A159" i="2"/>
  <c r="A160" i="2"/>
  <c r="A161" i="2"/>
  <c r="A162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84" i="2"/>
  <c r="A85" i="2"/>
  <c r="A86" i="2"/>
  <c r="A87" i="2"/>
  <c r="A88" i="2"/>
  <c r="A89" i="2"/>
  <c r="A90" i="2"/>
  <c r="A91" i="2"/>
  <c r="A92" i="2"/>
  <c r="A93" i="2"/>
  <c r="A94" i="2"/>
  <c r="A95" i="2"/>
  <c r="A71" i="2"/>
  <c r="A72" i="2"/>
  <c r="A73" i="2"/>
  <c r="A74" i="2"/>
  <c r="A75" i="2"/>
  <c r="A76" i="2"/>
  <c r="A77" i="2"/>
  <c r="A78" i="2"/>
  <c r="A79" i="2"/>
  <c r="A80" i="2"/>
  <c r="A81" i="2"/>
  <c r="A82" i="2"/>
  <c r="A62" i="2"/>
  <c r="A63" i="2"/>
  <c r="A64" i="2"/>
  <c r="A65" i="2"/>
  <c r="A66" i="2"/>
  <c r="A67" i="2"/>
  <c r="A68" i="2"/>
  <c r="A69" i="2"/>
  <c r="A49" i="2"/>
  <c r="A50" i="2"/>
  <c r="A51" i="2"/>
  <c r="A52" i="2"/>
  <c r="A53" i="2"/>
  <c r="A54" i="2"/>
  <c r="A55" i="2"/>
  <c r="A56" i="2"/>
  <c r="A57" i="2"/>
  <c r="A58" i="2"/>
  <c r="A59" i="2"/>
  <c r="A36" i="2"/>
  <c r="A37" i="2"/>
  <c r="A38" i="2"/>
  <c r="A39" i="2"/>
  <c r="A40" i="2"/>
  <c r="A41" i="2"/>
  <c r="A42" i="2"/>
  <c r="A43" i="2"/>
  <c r="A44" i="2"/>
  <c r="A45" i="2"/>
  <c r="A46" i="2"/>
  <c r="A47" i="2"/>
  <c r="A24" i="2"/>
  <c r="A25" i="2"/>
  <c r="A26" i="2"/>
  <c r="A27" i="2"/>
  <c r="A28" i="2"/>
  <c r="A29" i="2"/>
  <c r="A30" i="2"/>
  <c r="A31" i="2"/>
  <c r="A32" i="2"/>
  <c r="A33" i="2"/>
  <c r="A34" i="2"/>
  <c r="A13" i="2"/>
  <c r="A14" i="2"/>
  <c r="A15" i="2"/>
  <c r="A16" i="2"/>
  <c r="A17" i="2"/>
  <c r="A18" i="2"/>
  <c r="A19" i="2"/>
  <c r="A20" i="2"/>
  <c r="A21" i="2"/>
  <c r="A22" i="2"/>
  <c r="A2" i="2"/>
  <c r="A3" i="2"/>
  <c r="A4" i="2"/>
  <c r="A5" i="2"/>
  <c r="A6" i="2"/>
  <c r="A7" i="2"/>
  <c r="A8" i="2"/>
  <c r="A9" i="2"/>
  <c r="A10" i="2"/>
  <c r="A11" i="2"/>
  <c r="C37" i="1" a="1"/>
  <c r="C37" i="1"/>
  <c r="C34" i="1" a="1"/>
  <c r="C34" i="1"/>
  <c r="G18" i="1" a="1"/>
  <c r="G18" i="1"/>
  <c r="E18" i="1" a="1"/>
  <c r="E18" i="1"/>
  <c r="C18" i="1" a="1"/>
  <c r="C18" i="1"/>
  <c r="H2" i="3" a="1"/>
  <c r="H2" i="3"/>
  <c r="C12" i="3" a="1"/>
  <c r="L16" i="3"/>
  <c r="R1" i="3"/>
  <c r="S2" i="3"/>
  <c r="S6" i="3"/>
  <c r="S7" i="3"/>
  <c r="S8" i="3"/>
  <c r="S9" i="3"/>
  <c r="S10" i="3"/>
  <c r="S4" i="3"/>
  <c r="S5" i="3"/>
  <c r="S3" i="3"/>
  <c r="P10" i="3"/>
  <c r="P3" i="3"/>
  <c r="P9" i="3"/>
  <c r="P8" i="3"/>
  <c r="P7" i="3"/>
  <c r="P6" i="3"/>
  <c r="P5" i="3"/>
  <c r="P4" i="3"/>
  <c r="A20" i="1"/>
  <c r="A19" i="1"/>
  <c r="L13" i="3"/>
  <c r="L14" i="3"/>
  <c r="L19" i="3"/>
  <c r="L15" i="3"/>
  <c r="C12" i="3"/>
  <c r="L12" i="3"/>
  <c r="L17" i="3"/>
  <c r="L18" i="3"/>
  <c r="L2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<sst xmlns="http://schemas.openxmlformats.org/spreadsheetml/2006/main" count="1205" uniqueCount="102">
  <si>
    <t>Japan</t>
  </si>
  <si>
    <t>France</t>
  </si>
  <si>
    <t>Countries</t>
  </si>
  <si>
    <t>United States of America</t>
  </si>
  <si>
    <t>Norway</t>
  </si>
  <si>
    <t>Finland</t>
  </si>
  <si>
    <t>Sweden</t>
  </si>
  <si>
    <t>Austria</t>
  </si>
  <si>
    <t>Germany</t>
  </si>
  <si>
    <t>Greece</t>
  </si>
  <si>
    <t>Hungary</t>
  </si>
  <si>
    <t>Ireland</t>
  </si>
  <si>
    <t>Italy</t>
  </si>
  <si>
    <t>Netherlands</t>
  </si>
  <si>
    <t>Portugal</t>
  </si>
  <si>
    <t>Spain</t>
  </si>
  <si>
    <t>United Kingdom</t>
  </si>
  <si>
    <t>Period1</t>
  </si>
  <si>
    <t>Period1End</t>
  </si>
  <si>
    <t>Period2</t>
  </si>
  <si>
    <t>Period2End</t>
  </si>
  <si>
    <t>Period3</t>
  </si>
  <si>
    <t>Period3End</t>
  </si>
  <si>
    <t>Year</t>
  </si>
  <si>
    <t>Country</t>
  </si>
  <si>
    <t>SRi</t>
  </si>
  <si>
    <t>Curve</t>
  </si>
  <si>
    <t>Equityg</t>
  </si>
  <si>
    <t>Gold_Price</t>
  </si>
  <si>
    <t>United States</t>
  </si>
  <si>
    <t>CoreInflation</t>
  </si>
  <si>
    <t>BDG</t>
  </si>
  <si>
    <t xml:space="preserve"> </t>
  </si>
  <si>
    <t>Money0/GDP</t>
  </si>
  <si>
    <t>ChangeDebt/GDP</t>
  </si>
  <si>
    <t>R.FXxTWI</t>
  </si>
  <si>
    <t>R.GDPg</t>
  </si>
  <si>
    <t>M0 Supply</t>
  </si>
  <si>
    <t>GDP</t>
  </si>
  <si>
    <t>M1 Supply</t>
  </si>
  <si>
    <t>Gold Price</t>
  </si>
  <si>
    <t>M0</t>
  </si>
  <si>
    <t>nGDP</t>
  </si>
  <si>
    <t>%</t>
  </si>
  <si>
    <t>Scenario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</si>
  <si>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</si>
  <si>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</si>
  <si>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</si>
  <si>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</si>
  <si>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</si>
  <si>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</si>
  <si>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</si>
  <si>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</si>
  <si>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</si>
  <si>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</si>
  <si>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</si>
  <si>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</si>
  <si>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</si>
  <si>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</si>
  <si>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</si>
  <si>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</si>
  <si>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</si>
  <si>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</si>
  <si>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</si>
  <si>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</si>
  <si>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</si>
  <si>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</si>
  <si>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</si>
  <si>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</si>
  <si>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EquityG</t>
  </si>
  <si>
    <t>W/Gold</t>
  </si>
  <si>
    <t>W/oGold</t>
  </si>
  <si>
    <t>UK30s</t>
  </si>
  <si>
    <t>US30s</t>
  </si>
  <si>
    <t>W/OG_All</t>
  </si>
  <si>
    <t>WG_All</t>
  </si>
  <si>
    <t>Jpy30s</t>
  </si>
  <si>
    <t>X Variable 1</t>
  </si>
  <si>
    <t>X Variable 2</t>
  </si>
  <si>
    <t>X Variable 3</t>
  </si>
  <si>
    <t>X Variable 4</t>
  </si>
  <si>
    <t>X Variable 5</t>
  </si>
  <si>
    <t>X Variable 6</t>
  </si>
  <si>
    <t>X Variable 7</t>
  </si>
  <si>
    <t>X Variable 8</t>
  </si>
  <si>
    <t>X Variable 9</t>
  </si>
  <si>
    <t>JPY30s</t>
  </si>
  <si>
    <t>Fr30s</t>
  </si>
  <si>
    <t>UK40s</t>
  </si>
  <si>
    <t>30s50s</t>
  </si>
  <si>
    <t>JPY</t>
  </si>
  <si>
    <t>SKY80s</t>
  </si>
  <si>
    <t>08s</t>
  </si>
  <si>
    <t>GFI</t>
  </si>
  <si>
    <t xml:space="preserve">ChangeDebt/GDP     </t>
  </si>
  <si>
    <t xml:space="preserve">SRi                </t>
  </si>
  <si>
    <t xml:space="preserve">Money0/GDP         </t>
  </si>
  <si>
    <t xml:space="preserve">R.GDPg             </t>
  </si>
  <si>
    <t xml:space="preserve">Curve              </t>
  </si>
  <si>
    <t xml:space="preserve">Equityg            </t>
  </si>
  <si>
    <t xml:space="preserve">R.FXxTWI           </t>
  </si>
  <si>
    <t xml:space="preserve">	BDG_pred_splines_ridge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</si>
</sst>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4" xfId="0" applyBorder="1"/>
    <xf numFmtId="0" fontId="0" fillId="0" borderId="5" xfId="0" applyBorder="1"/>
    <xf numFmtId="0" fontId="2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" fontId="0" fillId="0" borderId="0" xfId="0" applyNumberFormat="1"/>
    <xf numFmtId="14" fontId="0" fillId="0" borderId="0" xfId="0" applyNumberFormat="1"/>
    <xf numFmtId="10" fontId="0" fillId="0" borderId="0" xfId="0" applyNumberFormat="1"/>
    <xf numFmtId="10" fontId="0" fillId="0" borderId="7" xfId="0" applyNumberFormat="1" applyBorder="1"/>
    <xf numFmtId="9" fontId="0" fillId="0" borderId="7" xfId="0" applyNumberFormat="1" applyBorder="1"/>
    <xf numFmtId="10" fontId="0" fillId="0" borderId="7" xfId="1" applyNumberFormat="1" applyFont="1" applyBorder="1"/>
    <xf numFmtId="9" fontId="0" fillId="0" borderId="7" xfId="1" applyFont="1" applyBorder="1"/>
    <xf numFmtId="10" fontId="0" fillId="0" borderId="0" xfId="1" applyNumberFormat="1" applyFont="1" applyBorder="1"/>
    <xf numFmtId="9" fontId="0" fillId="0" borderId="0" xfId="0" applyNumberFormat="1"/>
    <xf numFmtId="9" fontId="0" fillId="0" borderId="0" xfId="1" applyFont="1" applyBorder="1"/>
    <xf numFmtId="9" fontId="0" fillId="0" borderId="10" xfId="0" applyNumberFormat="1" applyBorder="1"/>
    <xf numFmtId="10" fontId="0" fillId="0" borderId="10" xfId="0" applyNumberFormat="1" applyBorder="1"/>
    <xf numFmtId="10" fontId="0" fillId="0" borderId="10" xfId="1" applyNumberFormat="1" applyFont="1" applyBorder="1"/>
    <xf numFmtId="9" fontId="0" fillId="0" borderId="10" xfId="1" applyFont="1" applyBorder="1"/>
    <xf numFmtId="0" fontId="0" fillId="0" borderId="2" xfId="0" applyBorder="1"/>
    <xf numFmtId="0" fontId="0" fillId="0" borderId="3" xfId="0" applyBorder="1"/>
    <xf numFmtId="0" fontId="0" fillId="0" borderId="11" xfId="0" applyBorder="1"/>
    <xf numFmtId="0" fontId="0" fillId="0" borderId="15" xfId="0" applyBorder="1"/>
    <xf numFmtId="10" fontId="0" fillId="0" borderId="0" xfId="1" applyNumberFormat="1" applyFont="1"/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Continuous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956036745406822E-2"/>
          <c:y val="6.4220183486238536E-2"/>
          <c:w val="0.88882174103237099"/>
          <c:h val="0.8990825688073395"/>
        </c:manualLayout>
      </c:layout>
      <c:lineChart>
        <c:grouping val="standard"/>
        <c:varyColors val="0"/>
        <c:ser>
          <c:idx val="0"/>
          <c:order val="0"/>
          <c:tx>
            <c:strRef>
              <c:f>Forecast!$N$11</c:f>
              <c:strCache>
                <c:ptCount val="1"/>
                <c:pt idx="0">
                  <c:v>W/OG_All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cat>
            <c:numRef>
              <c:f>Forecast!$A$12:$A$20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Forecast!$N$12:$N$20</c:f>
              <c:numCache>
                <c:formatCode>General</c:formatCode>
                <c:ptCount val="9"/>
                <c:pt idx="0">
                  <c:v>-2.722504054998489E-2</c:v>
                </c:pt>
                <c:pt idx="1">
                  <c:v>4.5555169261148179E-2</c:v>
                </c:pt>
                <c:pt idx="2">
                  <c:v>-8.73854870124538E-3</c:v>
                </c:pt>
                <c:pt idx="3">
                  <c:v>-0.38189455437629805</c:v>
                </c:pt>
                <c:pt idx="4">
                  <c:v>0.71845608843090369</c:v>
                </c:pt>
                <c:pt idx="5">
                  <c:v>0.24867503936165958</c:v>
                </c:pt>
                <c:pt idx="6">
                  <c:v>0.21924592922168912</c:v>
                </c:pt>
                <c:pt idx="7">
                  <c:v>0.22823438484679195</c:v>
                </c:pt>
                <c:pt idx="8">
                  <c:v>-9.2927598193117633E-2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D-7E43-ABDD-19A60E9126F7}"/>
            </c:ext>
          </c:extLst>
        </c:ser>
        <c:ser>
          <c:idx val="1"/>
          <c:order val="1"/>
          <c:tx>
            <c:strRef>
              <c:f>Forecast!$O$11</c:f>
              <c:strCache>
                <c:ptCount val="1"/>
                <c:pt idx="0">
                  <c:v>WG_All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cat>
            <c:numRef>
              <c:f>Forecast!$A$12:$A$20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Forecast!$O$12:$O$20</c:f>
              <c:numCache>
                <c:formatCode>General</c:formatCode>
                <c:ptCount val="9"/>
                <c:pt idx="0">
                  <c:v>-0.10798798550656979</c:v>
                </c:pt>
                <c:pt idx="1">
                  <c:v>0.11062812800887564</c:v>
                </c:pt>
                <c:pt idx="2">
                  <c:v>-0.14548061558971392</c:v>
                </c:pt>
                <c:pt idx="3">
                  <c:v>-0.50607885377894712</c:v>
                </c:pt>
                <c:pt idx="4">
                  <c:v>0.79199265304825595</c:v>
                </c:pt>
                <c:pt idx="5">
                  <c:v>0.30152979833265936</c:v>
                </c:pt>
                <c:pt idx="6">
                  <c:v>0.13581244812727866</c:v>
                </c:pt>
                <c:pt idx="7">
                  <c:v>-1.3637333218370351E-2</c:v>
                </c:pt>
                <c:pt idx="8">
                  <c:v>-0.57103588105269576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8-F84A-B638-572056FF9ABE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Forecast!$Z$12:$Z$20</c:f>
              <c:numCache>
                <c:formatCode>General</c:formatCode>
                <c:ptCount val="9"/>
                <c:pt idx="0">
                  <c:v>-4.123307550600136E-2</c:v>
                </c:pt>
                <c:pt idx="1">
                  <c:v>7.3655986761039571E-2</c:v>
                </c:pt>
                <c:pt idx="2">
                  <c:v>-6.0893951988561429E-2</c:v>
                </c:pt>
                <c:pt idx="3">
                  <c:v>-0.43952343923132525</c:v>
                </c:pt>
                <c:pt idx="4">
                  <c:v>0.68171844010463634</c:v>
                </c:pt>
                <c:pt idx="5">
                  <c:v>0.30363101674921117</c:v>
                </c:pt>
                <c:pt idx="6">
                  <c:v>0.18326987965750766</c:v>
                </c:pt>
                <c:pt idx="7">
                  <c:v>0.19197562170465293</c:v>
                </c:pt>
                <c:pt idx="8">
                  <c:v>-0.1161847627644544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23-1044-8008-5888A55A10A5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val>
            <c:numRef>
              <c:f>Forecast!$AB$12:$AB$20</c:f>
              <c:numCache>
                <c:formatCode>General</c:formatCode>
                <c:ptCount val="9"/>
                <c:pt idx="0">
                  <c:v>-3.8597023033333601E-2</c:v>
                </c:pt>
                <c:pt idx="1">
                  <c:v>-6.2336155910643398E-2</c:v>
                </c:pt>
                <c:pt idx="2">
                  <c:v>-0.153920962089201</c:v>
                </c:pt>
                <c:pt idx="3">
                  <c:v>-0.87402750435658305</c:v>
                </c:pt>
                <c:pt idx="4">
                  <c:v>0.96547824152039696</c:v>
                </c:pt>
                <c:pt idx="5">
                  <c:v>0.36701284966634901</c:v>
                </c:pt>
                <c:pt idx="6">
                  <c:v>0.18295647824029901</c:v>
                </c:pt>
                <c:pt idx="7">
                  <c:v>0.11310558704554401</c:v>
                </c:pt>
                <c:pt idx="8">
                  <c:v>-7.2597360824520202E-2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23-1044-8008-5888A55A10A5}"/>
            </c:ext>
          </c:extLst>
        </c:ser>
        <c:ser>
          <c:idx val="2"/>
          <c:order val="4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Forecast!$AA$12:$AA$20</c:f>
              <c:numCache>
                <c:formatCode>General</c:formatCode>
                <c:ptCount val="9"/>
                <c:pt idx="0">
                  <c:v>-0.28000000000000003</c:v>
                </c:pt>
                <c:pt idx="1">
                  <c:v>-0.2</c:v>
                </c:pt>
                <c:pt idx="2">
                  <c:v>-0.51600000000000001</c:v>
                </c:pt>
                <c:pt idx="3">
                  <c:v>-1.1299999999999999</c:v>
                </c:pt>
                <c:pt idx="4">
                  <c:v>0.1</c:v>
                </c:pt>
                <c:pt idx="5">
                  <c:v>0.2</c:v>
                </c:pt>
                <c:pt idx="6">
                  <c:v>-0.5</c:v>
                </c:pt>
                <c:pt idx="7">
                  <c:v>-0.4</c:v>
                </c:pt>
                <c:pt idx="8">
                  <c:v>-0.6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923-1044-8008-5888A55A1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28400"/>
        <c:axId val="68634992"/>
      </c:lineChart>
      <c:catAx>
        <c:axId val="6902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34992"/>
        <c:crosses val="autoZero"/>
        <c:auto val="1"/>
        <c:lblAlgn val="ctr"/>
        <c:lblOffset val="100"/>
        <c:noMultiLvlLbl val="0"/>
      </c:catAx>
      <c:valAx>
        <c:axId val="6863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2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35</xdr:row>
      <xdr:rowOff>76200</xdr:rowOff>
    </xdr:from>
    <xdr:to>
      <xdr:col>10</xdr:col>
      <xdr:colOff>76200</xdr:colOff>
      <xdr:row>49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29B0A-2977-F0C2-ABBA-2A34E976F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BB9E-B652-43EF-B69A-025F42190F83}">
  <dimension ref="A1:G38"/>
  <sheetViews>
    <sheetView workbookViewId="0">
      <selection activeCell="D23" sqref="D23"/>
    </sheetView>
  </sheetViews>
  <sheetFormatPr baseColWidth="10" defaultColWidth="8.83203125" defaultRowHeight="15" x14ac:dyDescent="0.2"/>
  <cols>
    <col min="1" max="1" width="21.33203125" bestFit="1" customWidth="1"/>
  </cols>
  <sheetData>
    <row r="1" spans="1:7" x14ac:dyDescent="0.2">
      <c r="A1" t="s">
        <v>2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2">
      <c r="A2" t="s">
        <v>16</v>
      </c>
      <c r="B2">
        <v>1927</v>
      </c>
      <c r="C2">
        <v>1936</v>
      </c>
      <c r="D2">
        <v>1941</v>
      </c>
      <c r="E2">
        <v>1967</v>
      </c>
      <c r="F2">
        <v>2004</v>
      </c>
      <c r="G2">
        <v>2014</v>
      </c>
    </row>
    <row r="3" spans="1:7" x14ac:dyDescent="0.2">
      <c r="A3" t="s">
        <v>3</v>
      </c>
      <c r="B3">
        <v>1926</v>
      </c>
      <c r="C3">
        <v>1936</v>
      </c>
      <c r="D3">
        <v>1943</v>
      </c>
      <c r="E3">
        <v>1951</v>
      </c>
      <c r="F3">
        <v>2005</v>
      </c>
      <c r="G3">
        <v>2015</v>
      </c>
    </row>
    <row r="4" spans="1:7" x14ac:dyDescent="0.2">
      <c r="A4" t="s">
        <v>0</v>
      </c>
      <c r="B4">
        <v>1925</v>
      </c>
      <c r="C4">
        <v>1936</v>
      </c>
      <c r="D4">
        <v>1987</v>
      </c>
      <c r="E4">
        <v>2017</v>
      </c>
    </row>
    <row r="5" spans="1:7" x14ac:dyDescent="0.2">
      <c r="A5" t="s">
        <v>1</v>
      </c>
      <c r="B5">
        <v>1926</v>
      </c>
      <c r="C5">
        <v>1938</v>
      </c>
    </row>
    <row r="6" spans="1:7" x14ac:dyDescent="0.2">
      <c r="A6" t="s">
        <v>4</v>
      </c>
      <c r="B6">
        <v>1984</v>
      </c>
      <c r="C6">
        <v>1996</v>
      </c>
    </row>
    <row r="7" spans="1:7" x14ac:dyDescent="0.2">
      <c r="A7" t="s">
        <v>5</v>
      </c>
      <c r="B7">
        <v>1987</v>
      </c>
      <c r="C7">
        <v>2001</v>
      </c>
    </row>
    <row r="8" spans="1:7" x14ac:dyDescent="0.2">
      <c r="A8" t="s">
        <v>6</v>
      </c>
      <c r="B8">
        <v>1987</v>
      </c>
      <c r="C8">
        <v>2000</v>
      </c>
    </row>
    <row r="9" spans="1:7" x14ac:dyDescent="0.2">
      <c r="A9" t="s">
        <v>7</v>
      </c>
      <c r="B9">
        <v>2005</v>
      </c>
      <c r="C9">
        <v>2017</v>
      </c>
    </row>
    <row r="10" spans="1:7" x14ac:dyDescent="0.2">
      <c r="A10" t="s">
        <v>8</v>
      </c>
      <c r="B10">
        <v>2006</v>
      </c>
      <c r="C10">
        <v>2017</v>
      </c>
    </row>
    <row r="11" spans="1:7" x14ac:dyDescent="0.2">
      <c r="A11" t="s">
        <v>9</v>
      </c>
      <c r="B11">
        <v>2005</v>
      </c>
      <c r="C11">
        <v>2018</v>
      </c>
    </row>
    <row r="12" spans="1:7" x14ac:dyDescent="0.2">
      <c r="A12" t="s">
        <v>10</v>
      </c>
      <c r="B12">
        <v>2005</v>
      </c>
      <c r="C12">
        <v>2017</v>
      </c>
    </row>
    <row r="13" spans="1:7" x14ac:dyDescent="0.2">
      <c r="A13" t="s">
        <v>11</v>
      </c>
      <c r="B13">
        <v>2005</v>
      </c>
      <c r="C13">
        <v>2017</v>
      </c>
    </row>
    <row r="14" spans="1:7" x14ac:dyDescent="0.2">
      <c r="A14" t="s">
        <v>12</v>
      </c>
      <c r="B14">
        <v>2005</v>
      </c>
      <c r="C14">
        <v>2017</v>
      </c>
    </row>
    <row r="15" spans="1:7" x14ac:dyDescent="0.2">
      <c r="A15" t="s">
        <v>13</v>
      </c>
      <c r="B15">
        <v>2006</v>
      </c>
      <c r="C15">
        <v>2017</v>
      </c>
    </row>
    <row r="16" spans="1:7" x14ac:dyDescent="0.2">
      <c r="A16" t="s">
        <v>14</v>
      </c>
      <c r="B16">
        <v>2007</v>
      </c>
      <c r="C16">
        <v>2017</v>
      </c>
    </row>
    <row r="17" spans="1:7" x14ac:dyDescent="0.2">
      <c r="A17" t="s">
        <v>15</v>
      </c>
      <c r="B17">
        <v>2005</v>
      </c>
      <c r="C17">
        <v>2017</v>
      </c>
    </row>
    <row r="18" spans="1:7" x14ac:dyDescent="0.2">
      <c r="C18" cm="1">
        <f t="array" ref="C18:C33">C2:C17-B2:B17</f>
        <v>9</v>
      </c>
      <c r="E18" cm="1">
        <f t="array" ref="E18:E33">E2:E17-D2:D17</f>
        <v>26</v>
      </c>
      <c r="G18" cm="1">
        <f t="array" ref="G18:G33">G2:G17-F2:F17</f>
        <v>10</v>
      </c>
    </row>
    <row r="19" spans="1:7" x14ac:dyDescent="0.2">
      <c r="A19">
        <f>AVERAGE(C18:C38)</f>
        <v>12.857142857142858</v>
      </c>
      <c r="C19">
        <v>10</v>
      </c>
      <c r="E19">
        <v>8</v>
      </c>
      <c r="G19">
        <v>10</v>
      </c>
    </row>
    <row r="20" spans="1:7" x14ac:dyDescent="0.2">
      <c r="A20">
        <f>STDEV(C18:C38)</f>
        <v>5.2657925736370794</v>
      </c>
      <c r="C20">
        <v>11</v>
      </c>
      <c r="E20">
        <v>30</v>
      </c>
      <c r="G20">
        <v>0</v>
      </c>
    </row>
    <row r="21" spans="1:7" x14ac:dyDescent="0.2">
      <c r="C21">
        <v>12</v>
      </c>
      <c r="E21">
        <v>0</v>
      </c>
      <c r="G21">
        <v>0</v>
      </c>
    </row>
    <row r="22" spans="1:7" x14ac:dyDescent="0.2">
      <c r="C22">
        <v>12</v>
      </c>
      <c r="E22">
        <v>0</v>
      </c>
      <c r="G22">
        <v>0</v>
      </c>
    </row>
    <row r="23" spans="1:7" x14ac:dyDescent="0.2">
      <c r="C23">
        <v>14</v>
      </c>
      <c r="E23">
        <v>0</v>
      </c>
      <c r="G23">
        <v>0</v>
      </c>
    </row>
    <row r="24" spans="1:7" x14ac:dyDescent="0.2">
      <c r="C24">
        <v>13</v>
      </c>
      <c r="E24">
        <v>0</v>
      </c>
      <c r="G24">
        <v>0</v>
      </c>
    </row>
    <row r="25" spans="1:7" x14ac:dyDescent="0.2">
      <c r="C25">
        <v>12</v>
      </c>
      <c r="E25">
        <v>0</v>
      </c>
      <c r="G25">
        <v>0</v>
      </c>
    </row>
    <row r="26" spans="1:7" x14ac:dyDescent="0.2">
      <c r="C26">
        <v>11</v>
      </c>
      <c r="E26">
        <v>0</v>
      </c>
      <c r="G26">
        <v>0</v>
      </c>
    </row>
    <row r="27" spans="1:7" x14ac:dyDescent="0.2">
      <c r="C27">
        <v>13</v>
      </c>
      <c r="E27">
        <v>0</v>
      </c>
      <c r="G27">
        <v>0</v>
      </c>
    </row>
    <row r="28" spans="1:7" x14ac:dyDescent="0.2">
      <c r="C28">
        <v>12</v>
      </c>
      <c r="E28">
        <v>0</v>
      </c>
      <c r="G28">
        <v>0</v>
      </c>
    </row>
    <row r="29" spans="1:7" x14ac:dyDescent="0.2">
      <c r="C29">
        <v>12</v>
      </c>
      <c r="E29">
        <v>0</v>
      </c>
      <c r="G29">
        <v>0</v>
      </c>
    </row>
    <row r="30" spans="1:7" x14ac:dyDescent="0.2">
      <c r="C30">
        <v>12</v>
      </c>
      <c r="E30">
        <v>0</v>
      </c>
      <c r="G30">
        <v>0</v>
      </c>
    </row>
    <row r="31" spans="1:7" x14ac:dyDescent="0.2">
      <c r="C31">
        <v>11</v>
      </c>
      <c r="E31">
        <v>0</v>
      </c>
      <c r="G31">
        <v>0</v>
      </c>
    </row>
    <row r="32" spans="1:7" x14ac:dyDescent="0.2">
      <c r="C32">
        <v>10</v>
      </c>
      <c r="E32">
        <v>0</v>
      </c>
      <c r="G32">
        <v>0</v>
      </c>
    </row>
    <row r="33" spans="3:7" x14ac:dyDescent="0.2">
      <c r="C33">
        <v>12</v>
      </c>
      <c r="E33">
        <v>0</v>
      </c>
      <c r="G33">
        <v>0</v>
      </c>
    </row>
    <row r="34" spans="3:7" x14ac:dyDescent="0.2">
      <c r="C34" cm="1">
        <f t="array" ref="C34:C36">E18:E20</f>
        <v>26</v>
      </c>
    </row>
    <row r="35" spans="3:7" x14ac:dyDescent="0.2">
      <c r="C35">
        <v>8</v>
      </c>
    </row>
    <row r="36" spans="3:7" x14ac:dyDescent="0.2">
      <c r="C36">
        <v>30</v>
      </c>
    </row>
    <row r="37" spans="3:7" x14ac:dyDescent="0.2">
      <c r="C37" cm="1">
        <f t="array" ref="C37:C38">G18:G19</f>
        <v>10</v>
      </c>
    </row>
    <row r="38" spans="3:7" x14ac:dyDescent="0.2">
      <c r="C3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60C2-7747-47A3-9DE2-182C0DA96FDB}">
  <dimension ref="A1:L201"/>
  <sheetViews>
    <sheetView workbookViewId="0">
      <pane xSplit="1" topLeftCell="B1" activePane="topRight" state="frozen"/>
      <selection pane="topRight" sqref="A1:XFD1048576"/>
    </sheetView>
  </sheetViews>
  <sheetFormatPr baseColWidth="10" defaultColWidth="8.83203125" defaultRowHeight="15" x14ac:dyDescent="0.2"/>
  <cols>
    <col min="1" max="1" width="8.83203125" style="6"/>
    <col min="2" max="2" width="13.83203125" bestFit="1" customWidth="1"/>
    <col min="3" max="3" width="15.6640625" bestFit="1" customWidth="1"/>
    <col min="8" max="9" width="11" bestFit="1" customWidth="1"/>
    <col min="12" max="12" width="8.83203125" style="10"/>
  </cols>
  <sheetData>
    <row r="1" spans="1:12" ht="16" thickBot="1" x14ac:dyDescent="0.25">
      <c r="A1" s="1" t="s">
        <v>23</v>
      </c>
      <c r="B1" s="2" t="s">
        <v>24</v>
      </c>
      <c r="C1" s="2" t="s">
        <v>31</v>
      </c>
      <c r="D1" s="2" t="s">
        <v>30</v>
      </c>
      <c r="E1" s="2" t="s">
        <v>34</v>
      </c>
      <c r="F1" s="2" t="s">
        <v>25</v>
      </c>
      <c r="G1" s="2" t="s">
        <v>33</v>
      </c>
      <c r="H1" s="2" t="s">
        <v>36</v>
      </c>
      <c r="I1" s="2" t="s">
        <v>26</v>
      </c>
      <c r="J1" s="2" t="s">
        <v>27</v>
      </c>
      <c r="K1" s="2" t="s">
        <v>35</v>
      </c>
      <c r="L1" s="29" t="s">
        <v>40</v>
      </c>
    </row>
    <row r="2" spans="1:12" x14ac:dyDescent="0.2">
      <c r="A2" s="4">
        <f>Sheet1!B2</f>
        <v>1927</v>
      </c>
      <c r="B2" s="5" t="s">
        <v>16</v>
      </c>
      <c r="C2" s="5">
        <v>0.28199117065002199</v>
      </c>
      <c r="D2" s="5">
        <v>0.37353791975851802</v>
      </c>
      <c r="E2" s="5">
        <v>-1.3506501825635699</v>
      </c>
      <c r="F2" s="5">
        <v>4.0868555503947901</v>
      </c>
      <c r="G2" s="5">
        <v>11.9874687574896</v>
      </c>
      <c r="H2" s="5">
        <v>0.230647024841132</v>
      </c>
      <c r="I2" s="5">
        <v>-7.2862341950250098E-2</v>
      </c>
      <c r="J2" s="5">
        <v>85.706110082477593</v>
      </c>
      <c r="K2" s="5">
        <v>4.1054954931141001</v>
      </c>
      <c r="L2" s="9">
        <v>107.074193054918</v>
      </c>
    </row>
    <row r="3" spans="1:12" x14ac:dyDescent="0.2">
      <c r="A3" s="6">
        <f>A2+1</f>
        <v>1928</v>
      </c>
      <c r="B3" t="s">
        <v>16</v>
      </c>
      <c r="C3">
        <v>0.71689754909422998</v>
      </c>
      <c r="D3">
        <v>-2.5589234058608898</v>
      </c>
      <c r="E3">
        <v>-0.39971814746012702</v>
      </c>
      <c r="F3">
        <v>4.0350263653998502</v>
      </c>
      <c r="G3">
        <v>12.066901770123501</v>
      </c>
      <c r="H3">
        <v>6.4975207009435696</v>
      </c>
      <c r="I3">
        <v>-0.24342475518703499</v>
      </c>
      <c r="J3">
        <v>94.664197946473607</v>
      </c>
      <c r="K3">
        <v>9.4221670058946501</v>
      </c>
      <c r="L3" s="10">
        <v>107.154964050787</v>
      </c>
    </row>
    <row r="4" spans="1:12" x14ac:dyDescent="0.2">
      <c r="A4" s="6">
        <f t="shared" ref="A4:A11" si="0">A3+1</f>
        <v>1929</v>
      </c>
      <c r="B4" t="s">
        <v>16</v>
      </c>
      <c r="C4">
        <v>0.73836200334906299</v>
      </c>
      <c r="D4">
        <v>-0.45126399195069999</v>
      </c>
      <c r="E4">
        <v>-1.8073794119531099</v>
      </c>
      <c r="F4">
        <v>5.4156717029589299</v>
      </c>
      <c r="G4">
        <v>12.286369705892399</v>
      </c>
      <c r="H4">
        <v>2.5388744463701101</v>
      </c>
      <c r="I4">
        <v>-3.8194574719543697E-2</v>
      </c>
      <c r="J4">
        <v>99.622959097794904</v>
      </c>
      <c r="K4">
        <v>7.1643625598054497</v>
      </c>
      <c r="L4" s="10">
        <v>105.82591402784099</v>
      </c>
    </row>
    <row r="5" spans="1:12" x14ac:dyDescent="0.2">
      <c r="A5" s="6">
        <f t="shared" si="0"/>
        <v>1930</v>
      </c>
      <c r="B5" t="s">
        <v>16</v>
      </c>
      <c r="C5">
        <v>0.26495661440097401</v>
      </c>
      <c r="D5">
        <v>0.236574015847061</v>
      </c>
      <c r="E5">
        <v>-1.28755364806867</v>
      </c>
      <c r="F5">
        <v>2.1033851534111001</v>
      </c>
      <c r="G5">
        <v>11.6440579313178</v>
      </c>
      <c r="H5">
        <v>0.75568072405160702</v>
      </c>
      <c r="I5">
        <v>-2.2639102540051699</v>
      </c>
      <c r="J5">
        <v>85.347023508949107</v>
      </c>
      <c r="K5">
        <v>8.8740715286405205</v>
      </c>
      <c r="L5" s="10">
        <v>105.82591402784099</v>
      </c>
    </row>
    <row r="6" spans="1:12" x14ac:dyDescent="0.2">
      <c r="A6" s="6">
        <f t="shared" si="0"/>
        <v>1931</v>
      </c>
      <c r="B6" t="s">
        <v>16</v>
      </c>
      <c r="C6">
        <v>-1.7358958745623301</v>
      </c>
      <c r="D6">
        <v>-3.4323984404477401</v>
      </c>
      <c r="E6">
        <v>2.6683108064826002</v>
      </c>
      <c r="F6">
        <v>4.5810496980956801</v>
      </c>
      <c r="G6">
        <v>12.0754613620022</v>
      </c>
      <c r="H6">
        <v>-3.7844454072790299</v>
      </c>
      <c r="I6">
        <v>-2.1523280681349202</v>
      </c>
      <c r="J6">
        <v>62.4462772821634</v>
      </c>
      <c r="K6">
        <v>11.496788348180001</v>
      </c>
      <c r="L6" s="10">
        <v>105.90178981184</v>
      </c>
    </row>
    <row r="7" spans="1:12" x14ac:dyDescent="0.2">
      <c r="A7" s="6">
        <f t="shared" si="0"/>
        <v>1932</v>
      </c>
      <c r="B7" t="s">
        <v>16</v>
      </c>
      <c r="C7">
        <v>-2.8903638301111201</v>
      </c>
      <c r="D7">
        <v>-1.2077726072192201</v>
      </c>
      <c r="E7">
        <v>4.1531612324642797</v>
      </c>
      <c r="F7">
        <v>0.56457473839512495</v>
      </c>
      <c r="G7">
        <v>11.5249084123668</v>
      </c>
      <c r="H7">
        <v>-5.3918977469670697</v>
      </c>
      <c r="I7">
        <v>1.1567178178816599</v>
      </c>
      <c r="J7">
        <v>40.6452336868091</v>
      </c>
      <c r="K7">
        <v>-10.3746927123258</v>
      </c>
      <c r="L7" s="10">
        <v>128.48829738412101</v>
      </c>
    </row>
    <row r="8" spans="1:12" x14ac:dyDescent="0.2">
      <c r="A8" s="6">
        <f t="shared" si="0"/>
        <v>1933</v>
      </c>
      <c r="B8" t="s">
        <v>16</v>
      </c>
      <c r="C8">
        <v>-3.0129852336733101</v>
      </c>
      <c r="D8">
        <v>-3.2369513268771199</v>
      </c>
      <c r="E8">
        <v>3.39312023573122</v>
      </c>
      <c r="F8">
        <v>9.1035764050161505E-2</v>
      </c>
      <c r="G8">
        <v>11.785804772828399</v>
      </c>
      <c r="H8">
        <v>0.60201232428268903</v>
      </c>
      <c r="I8">
        <v>-2.5143886241698801</v>
      </c>
      <c r="J8">
        <v>65.864332603938706</v>
      </c>
      <c r="K8">
        <v>-15.595411170733</v>
      </c>
      <c r="L8" s="10">
        <v>140.508490133088</v>
      </c>
    </row>
    <row r="9" spans="1:12" x14ac:dyDescent="0.2">
      <c r="A9" s="6">
        <f t="shared" si="0"/>
        <v>1934</v>
      </c>
      <c r="B9" t="s">
        <v>16</v>
      </c>
      <c r="C9">
        <v>-1.09196224691733</v>
      </c>
      <c r="D9">
        <v>-0.68029178719658001</v>
      </c>
      <c r="E9">
        <v>-0.16174492345140801</v>
      </c>
      <c r="F9">
        <v>0.85183464932652098</v>
      </c>
      <c r="G9">
        <v>13.4751258260006</v>
      </c>
      <c r="H9">
        <v>7.2357019064124799</v>
      </c>
      <c r="I9">
        <v>-2.3576332870596102</v>
      </c>
      <c r="J9">
        <v>85.308870560511593</v>
      </c>
      <c r="K9">
        <v>3.4440009516005499</v>
      </c>
      <c r="L9" s="10">
        <v>153.24093620926999</v>
      </c>
    </row>
    <row r="10" spans="1:12" x14ac:dyDescent="0.2">
      <c r="A10" s="6">
        <f>A9+1</f>
        <v>1935</v>
      </c>
      <c r="B10" t="s">
        <v>16</v>
      </c>
      <c r="C10">
        <v>-0.51255898919165699</v>
      </c>
      <c r="D10">
        <v>-0.33014715130172601</v>
      </c>
      <c r="E10">
        <v>-5.11594388572159</v>
      </c>
      <c r="F10">
        <v>0.20827299800551899</v>
      </c>
      <c r="G10">
        <v>12.7872770226315</v>
      </c>
      <c r="H10">
        <v>4.8211534758328503</v>
      </c>
      <c r="I10">
        <v>-2.4581848197200999</v>
      </c>
      <c r="J10">
        <v>86.692476014139004</v>
      </c>
      <c r="K10">
        <v>-7.5731542914539304E-2</v>
      </c>
      <c r="L10" s="10">
        <v>171.620009178522</v>
      </c>
    </row>
    <row r="11" spans="1:12" ht="16" thickBot="1" x14ac:dyDescent="0.25">
      <c r="A11" s="7">
        <f t="shared" si="0"/>
        <v>1936</v>
      </c>
      <c r="B11" s="8" t="s">
        <v>16</v>
      </c>
      <c r="C11" s="8">
        <v>-1.51773481504031E-2</v>
      </c>
      <c r="D11" s="8">
        <v>0.87385234561689895</v>
      </c>
      <c r="E11" s="8">
        <v>-6.4163090128755398</v>
      </c>
      <c r="F11" s="8">
        <v>0.49323788967514398</v>
      </c>
      <c r="G11" s="8">
        <v>12.641079193344</v>
      </c>
      <c r="H11" s="8">
        <v>3.8526381667629499</v>
      </c>
      <c r="I11" s="8">
        <v>-2.4396503207893998</v>
      </c>
      <c r="J11" s="8">
        <v>95.576502272344698</v>
      </c>
      <c r="K11" s="8">
        <v>2.27221062091935</v>
      </c>
      <c r="L11" s="11">
        <v>178.69848554382699</v>
      </c>
    </row>
    <row r="12" spans="1:12" x14ac:dyDescent="0.2">
      <c r="A12" s="6">
        <v>1926</v>
      </c>
      <c r="B12" t="s">
        <v>29</v>
      </c>
      <c r="F12">
        <v>3.4284084185613999</v>
      </c>
      <c r="G12">
        <v>6.8628771236562596</v>
      </c>
      <c r="H12">
        <v>6.38931749677048</v>
      </c>
      <c r="I12">
        <v>-0.18629352450776401</v>
      </c>
      <c r="J12">
        <v>44.346242508068201</v>
      </c>
      <c r="K12">
        <v>8.7125748502994007</v>
      </c>
      <c r="L12" s="10">
        <v>0</v>
      </c>
    </row>
    <row r="13" spans="1:12" x14ac:dyDescent="0.2">
      <c r="A13" s="6">
        <f>A12+1</f>
        <v>1927</v>
      </c>
      <c r="B13" t="s">
        <v>29</v>
      </c>
      <c r="C13">
        <v>0.8</v>
      </c>
      <c r="D13">
        <v>2.5</v>
      </c>
      <c r="E13">
        <v>0.7</v>
      </c>
      <c r="F13">
        <v>2.7180289071084398</v>
      </c>
      <c r="G13">
        <v>6.6657914234833804</v>
      </c>
      <c r="H13">
        <v>1.22344624659107</v>
      </c>
      <c r="I13">
        <v>0.17969313254602201</v>
      </c>
      <c r="J13">
        <v>55.177040110649997</v>
      </c>
      <c r="K13">
        <v>2.6497005988023901</v>
      </c>
      <c r="L13" s="10">
        <v>0</v>
      </c>
    </row>
    <row r="14" spans="1:12" x14ac:dyDescent="0.2">
      <c r="A14" s="6">
        <f t="shared" ref="A14:A22" si="1">A13+1</f>
        <v>1928</v>
      </c>
      <c r="B14" t="s">
        <v>29</v>
      </c>
      <c r="C14">
        <v>1.05</v>
      </c>
      <c r="D14">
        <v>2</v>
      </c>
      <c r="E14">
        <v>2.2000000000000002</v>
      </c>
      <c r="F14">
        <v>4.5280830022821403</v>
      </c>
      <c r="G14">
        <v>6.5768025893332904</v>
      </c>
      <c r="H14">
        <v>1.02456222190325</v>
      </c>
      <c r="I14">
        <v>1.0362006112978399</v>
      </c>
      <c r="J14">
        <v>73.222452743199597</v>
      </c>
      <c r="K14">
        <v>3.4580838323353298</v>
      </c>
      <c r="L14" s="10">
        <v>0</v>
      </c>
    </row>
    <row r="15" spans="1:12" x14ac:dyDescent="0.2">
      <c r="A15" s="6">
        <f t="shared" si="1"/>
        <v>1929</v>
      </c>
      <c r="B15" t="s">
        <v>29</v>
      </c>
      <c r="C15">
        <v>1.3</v>
      </c>
      <c r="D15">
        <v>3.8</v>
      </c>
      <c r="E15">
        <v>2.35</v>
      </c>
      <c r="F15">
        <v>3.16780069309441</v>
      </c>
      <c r="G15">
        <v>6.4366770222667</v>
      </c>
      <c r="H15">
        <v>6.4649418688100999</v>
      </c>
      <c r="I15">
        <v>2.1251434315945499</v>
      </c>
      <c r="J15">
        <v>108.775933609958</v>
      </c>
      <c r="K15">
        <v>0.76347305389222697</v>
      </c>
      <c r="L15" s="10">
        <v>0</v>
      </c>
    </row>
    <row r="16" spans="1:12" x14ac:dyDescent="0.2">
      <c r="A16" s="6">
        <f t="shared" si="1"/>
        <v>1930</v>
      </c>
      <c r="B16" t="s">
        <v>29</v>
      </c>
      <c r="C16">
        <v>0.1</v>
      </c>
      <c r="D16">
        <v>1.27</v>
      </c>
      <c r="E16">
        <v>4.6500000000000004</v>
      </c>
      <c r="F16">
        <v>1.66139802214521</v>
      </c>
      <c r="G16">
        <v>6.4688877045664297</v>
      </c>
      <c r="H16">
        <v>-6.1532941007607302</v>
      </c>
      <c r="I16">
        <v>5.4610627646502097E-2</v>
      </c>
      <c r="J16">
        <v>76.377132319040996</v>
      </c>
      <c r="K16">
        <v>3.9970059880239499</v>
      </c>
      <c r="L16" s="10">
        <v>0</v>
      </c>
    </row>
    <row r="17" spans="1:12" x14ac:dyDescent="0.2">
      <c r="A17" s="6">
        <f t="shared" si="1"/>
        <v>1931</v>
      </c>
      <c r="B17" t="s">
        <v>29</v>
      </c>
      <c r="C17">
        <v>-2.48</v>
      </c>
      <c r="D17">
        <v>-6.7</v>
      </c>
      <c r="E17">
        <v>13</v>
      </c>
      <c r="F17">
        <v>1.5402544163637899</v>
      </c>
      <c r="G17">
        <v>7.4710584809764597</v>
      </c>
      <c r="H17">
        <v>-7.0196103057269896</v>
      </c>
      <c r="I17">
        <v>-1.6258694747103399</v>
      </c>
      <c r="J17">
        <v>49.650299677270603</v>
      </c>
      <c r="K17">
        <v>15.0449101796407</v>
      </c>
      <c r="L17" s="10">
        <v>0</v>
      </c>
    </row>
    <row r="18" spans="1:12" x14ac:dyDescent="0.2">
      <c r="A18" s="6">
        <f t="shared" si="1"/>
        <v>1932</v>
      </c>
      <c r="B18" t="s">
        <v>29</v>
      </c>
      <c r="C18">
        <v>-3.4</v>
      </c>
      <c r="D18">
        <v>-8.9</v>
      </c>
      <c r="E18">
        <v>27.8</v>
      </c>
      <c r="F18">
        <v>3.4422280449666297E-2</v>
      </c>
      <c r="G18">
        <v>9.1642120861551195</v>
      </c>
      <c r="H18">
        <v>-11.89805511698</v>
      </c>
      <c r="I18">
        <v>-2.1910864245169002</v>
      </c>
      <c r="J18">
        <v>28.072614107883702</v>
      </c>
      <c r="K18">
        <v>23.802395209580801</v>
      </c>
      <c r="L18" s="10">
        <v>0</v>
      </c>
    </row>
    <row r="19" spans="1:12" x14ac:dyDescent="0.2">
      <c r="A19" s="6">
        <f t="shared" si="1"/>
        <v>1933</v>
      </c>
      <c r="B19" t="s">
        <v>29</v>
      </c>
      <c r="C19">
        <v>-3</v>
      </c>
      <c r="D19">
        <v>-6.2</v>
      </c>
      <c r="E19">
        <v>30</v>
      </c>
      <c r="F19">
        <v>0.121967711943201</v>
      </c>
      <c r="G19">
        <v>9.7398187986637303</v>
      </c>
      <c r="H19">
        <v>-2.8285129898090902</v>
      </c>
      <c r="I19">
        <v>-3.3231044182008298</v>
      </c>
      <c r="J19">
        <v>38.395112955278897</v>
      </c>
      <c r="K19">
        <v>-3.4131736526946002</v>
      </c>
      <c r="L19" s="10">
        <v>0</v>
      </c>
    </row>
    <row r="20" spans="1:12" x14ac:dyDescent="0.2">
      <c r="A20" s="6">
        <f t="shared" si="1"/>
        <v>1934</v>
      </c>
      <c r="B20" t="s">
        <v>29</v>
      </c>
      <c r="C20">
        <v>-2.1</v>
      </c>
      <c r="D20">
        <v>6.2</v>
      </c>
      <c r="E20">
        <v>13.1</v>
      </c>
      <c r="F20">
        <v>0.14675428957822501</v>
      </c>
      <c r="G20">
        <v>11.1685536389751</v>
      </c>
      <c r="H20">
        <v>9.2035668149849297</v>
      </c>
      <c r="I20">
        <v>-3.10303719574731</v>
      </c>
      <c r="J20">
        <v>34.314200092208303</v>
      </c>
      <c r="K20">
        <v>-9.4760479041916099</v>
      </c>
      <c r="L20" s="10">
        <v>0</v>
      </c>
    </row>
    <row r="21" spans="1:12" x14ac:dyDescent="0.2">
      <c r="A21" s="6">
        <f t="shared" si="1"/>
        <v>1935</v>
      </c>
      <c r="B21" t="s">
        <v>29</v>
      </c>
      <c r="C21">
        <v>-1.4</v>
      </c>
      <c r="D21">
        <v>5.9</v>
      </c>
      <c r="E21">
        <v>-8.1999999999999993</v>
      </c>
      <c r="F21">
        <v>2.44696137266497E-2</v>
      </c>
      <c r="G21">
        <v>11.7441603514837</v>
      </c>
      <c r="H21">
        <v>9.5792665422707</v>
      </c>
      <c r="I21">
        <v>-3.02888940789407</v>
      </c>
      <c r="J21">
        <v>43.618487782388101</v>
      </c>
      <c r="K21">
        <v>-2.4700598802395102</v>
      </c>
      <c r="L21" s="10">
        <v>0</v>
      </c>
    </row>
    <row r="22" spans="1:12" ht="16" thickBot="1" x14ac:dyDescent="0.25">
      <c r="A22" s="6">
        <f t="shared" si="1"/>
        <v>1936</v>
      </c>
      <c r="B22" t="s">
        <v>29</v>
      </c>
      <c r="C22">
        <v>-0.18</v>
      </c>
      <c r="D22">
        <v>5.8</v>
      </c>
      <c r="E22">
        <v>-19.399999999999999</v>
      </c>
      <c r="F22">
        <v>0.13337841264474701</v>
      </c>
      <c r="G22">
        <v>12.685003444645201</v>
      </c>
      <c r="H22">
        <v>12.343458446964201</v>
      </c>
      <c r="I22">
        <v>-2.7934077315976</v>
      </c>
      <c r="J22">
        <v>53.416551406177902</v>
      </c>
      <c r="K22">
        <v>-6.6467065868263298</v>
      </c>
      <c r="L22" s="10">
        <v>0</v>
      </c>
    </row>
    <row r="23" spans="1:12" x14ac:dyDescent="0.2">
      <c r="A23" s="4">
        <v>1925</v>
      </c>
      <c r="B23" s="5" t="s">
        <v>0</v>
      </c>
      <c r="C23" s="5">
        <v>-0.63710639860460805</v>
      </c>
      <c r="D23" s="5">
        <v>-1.3471613896480501</v>
      </c>
      <c r="E23" s="5">
        <v>4.5235065606696603</v>
      </c>
      <c r="F23" s="5">
        <v>5.8362351318738099</v>
      </c>
      <c r="G23" s="5">
        <v>0</v>
      </c>
      <c r="H23" s="5">
        <v>3.0641391265447502</v>
      </c>
      <c r="I23" s="5">
        <v>1.1144459489716401</v>
      </c>
      <c r="J23" s="5">
        <v>68.1991487104047</v>
      </c>
      <c r="K23" s="5">
        <v>5.6039790452645803</v>
      </c>
      <c r="L23" s="9">
        <v>125.482835096798</v>
      </c>
    </row>
    <row r="24" spans="1:12" x14ac:dyDescent="0.2">
      <c r="A24" s="6">
        <f>A23+1</f>
        <v>1926</v>
      </c>
      <c r="B24" t="s">
        <v>0</v>
      </c>
      <c r="C24">
        <v>0.27741439456531503</v>
      </c>
      <c r="D24">
        <v>-9.0513300951176205</v>
      </c>
      <c r="E24">
        <v>3.9543699712557299</v>
      </c>
      <c r="F24">
        <v>6.5147388381313496</v>
      </c>
      <c r="G24">
        <v>0</v>
      </c>
      <c r="H24">
        <v>2.6749426829950198</v>
      </c>
      <c r="I24">
        <v>1.0099583115650701</v>
      </c>
      <c r="J24">
        <v>92.733652466448802</v>
      </c>
      <c r="K24">
        <v>11.061628112307901</v>
      </c>
      <c r="L24" s="10">
        <v>112.489026475072</v>
      </c>
    </row>
    <row r="25" spans="1:12" x14ac:dyDescent="0.2">
      <c r="A25" s="6">
        <f t="shared" ref="A25:A34" si="2">A24+1</f>
        <v>1927</v>
      </c>
      <c r="B25" t="s">
        <v>0</v>
      </c>
      <c r="C25">
        <v>0.98421004314697402</v>
      </c>
      <c r="D25">
        <v>-5.5497607141578396</v>
      </c>
      <c r="E25">
        <v>3.4443335297725701</v>
      </c>
      <c r="F25">
        <v>5.3245992070332697</v>
      </c>
      <c r="G25">
        <v>0</v>
      </c>
      <c r="H25">
        <v>1.58675837387463</v>
      </c>
      <c r="I25">
        <v>0.369065262125367</v>
      </c>
      <c r="J25">
        <v>95.986398659158496</v>
      </c>
      <c r="K25">
        <v>13.2974277473659</v>
      </c>
      <c r="L25" s="10">
        <v>102.24437462458999</v>
      </c>
    </row>
    <row r="26" spans="1:12" x14ac:dyDescent="0.2">
      <c r="A26" s="6">
        <f t="shared" si="2"/>
        <v>1928</v>
      </c>
      <c r="B26" t="s">
        <v>0</v>
      </c>
      <c r="C26">
        <v>0.48955751399981601</v>
      </c>
      <c r="D26">
        <v>-4.7742597653685896</v>
      </c>
      <c r="E26">
        <v>4.0489735047566402</v>
      </c>
      <c r="F26">
        <v>2.2768488191691101</v>
      </c>
      <c r="G26">
        <v>0</v>
      </c>
      <c r="H26">
        <v>5.0481462841804996</v>
      </c>
      <c r="I26">
        <v>-2.9860540990073599</v>
      </c>
      <c r="J26">
        <v>86.592791771671102</v>
      </c>
      <c r="K26">
        <v>8.7514273941962397</v>
      </c>
      <c r="L26" s="10">
        <v>106.32768100540601</v>
      </c>
    </row>
    <row r="27" spans="1:12" x14ac:dyDescent="0.2">
      <c r="A27" s="6">
        <f t="shared" si="2"/>
        <v>1929</v>
      </c>
      <c r="B27" t="s">
        <v>0</v>
      </c>
      <c r="C27">
        <v>0.50747039383089998</v>
      </c>
      <c r="D27">
        <v>1.9012781802341501</v>
      </c>
      <c r="E27">
        <v>4.4633239924471102</v>
      </c>
      <c r="F27">
        <v>2.5512842613342501</v>
      </c>
      <c r="G27">
        <v>0</v>
      </c>
      <c r="H27">
        <v>5.3165576245596302</v>
      </c>
      <c r="I27">
        <v>-2.7331513684681799</v>
      </c>
      <c r="J27">
        <v>82.581843174610796</v>
      </c>
      <c r="K27">
        <v>6.9149449643886998</v>
      </c>
      <c r="L27" s="10">
        <v>105.308875849004</v>
      </c>
    </row>
    <row r="28" spans="1:12" x14ac:dyDescent="0.2">
      <c r="A28" s="6">
        <f t="shared" si="2"/>
        <v>1930</v>
      </c>
      <c r="B28" t="s">
        <v>0</v>
      </c>
      <c r="C28">
        <v>-0.19105159276599601</v>
      </c>
      <c r="D28">
        <v>-2.1122793617453</v>
      </c>
      <c r="E28">
        <v>5.7992471165526096</v>
      </c>
      <c r="F28">
        <v>2.8829512153076999</v>
      </c>
      <c r="G28">
        <v>0</v>
      </c>
      <c r="H28">
        <v>0.475088072471052</v>
      </c>
      <c r="I28">
        <v>-2.4454905054856</v>
      </c>
      <c r="J28">
        <v>68.202042612711395</v>
      </c>
      <c r="K28">
        <v>10.3392783565836</v>
      </c>
      <c r="L28" s="10">
        <v>109.39218222981999</v>
      </c>
    </row>
    <row r="29" spans="1:12" x14ac:dyDescent="0.2">
      <c r="A29" s="6">
        <f t="shared" si="2"/>
        <v>1931</v>
      </c>
      <c r="B29" t="s">
        <v>0</v>
      </c>
      <c r="C29">
        <v>-1.88859818231892</v>
      </c>
      <c r="D29">
        <v>-15.9663925719946</v>
      </c>
      <c r="E29">
        <v>10.0717764922366</v>
      </c>
      <c r="F29">
        <v>2.0355111187726198</v>
      </c>
      <c r="G29">
        <v>0</v>
      </c>
      <c r="H29">
        <v>-3.9872504613319899</v>
      </c>
      <c r="I29">
        <v>-2.51415381006706</v>
      </c>
      <c r="J29">
        <v>60.593973448446299</v>
      </c>
      <c r="K29">
        <v>3.17982223791864</v>
      </c>
      <c r="L29" s="10">
        <v>99.107101603289806</v>
      </c>
    </row>
    <row r="30" spans="1:12" x14ac:dyDescent="0.2">
      <c r="A30" s="6">
        <f t="shared" si="2"/>
        <v>1932</v>
      </c>
      <c r="B30" t="s">
        <v>0</v>
      </c>
      <c r="C30">
        <v>-1.35185440190948</v>
      </c>
      <c r="D30">
        <v>-2.5465742144144401</v>
      </c>
      <c r="E30">
        <v>11.0033073953359</v>
      </c>
      <c r="F30">
        <v>6.0410274090674001</v>
      </c>
      <c r="G30">
        <v>0</v>
      </c>
      <c r="H30">
        <v>4.21607112900519</v>
      </c>
      <c r="I30">
        <v>5.9760531394267902E-2</v>
      </c>
      <c r="J30">
        <v>50.691039754982903</v>
      </c>
      <c r="K30">
        <v>13.9039378421331</v>
      </c>
      <c r="L30" s="10">
        <v>143.06935267754</v>
      </c>
    </row>
    <row r="31" spans="1:12" x14ac:dyDescent="0.2">
      <c r="A31" s="6">
        <f t="shared" si="2"/>
        <v>1933</v>
      </c>
      <c r="B31" t="s">
        <v>0</v>
      </c>
      <c r="C31">
        <v>1.2409345451207101</v>
      </c>
      <c r="D31">
        <v>5.7999069112434398</v>
      </c>
      <c r="E31">
        <v>8.5501100460630006</v>
      </c>
      <c r="F31">
        <v>3.1415273228753602</v>
      </c>
      <c r="G31">
        <v>0</v>
      </c>
      <c r="H31">
        <v>9.2398367164345903</v>
      </c>
      <c r="I31">
        <v>-2.1166743077693999</v>
      </c>
      <c r="J31">
        <v>44.014807133469098</v>
      </c>
      <c r="K31">
        <v>-43.374536464771303</v>
      </c>
      <c r="L31" s="10">
        <v>237.22797209259301</v>
      </c>
    </row>
    <row r="32" spans="1:12" x14ac:dyDescent="0.2">
      <c r="A32" s="6">
        <f t="shared" si="2"/>
        <v>1934</v>
      </c>
      <c r="B32" t="s">
        <v>0</v>
      </c>
      <c r="C32">
        <v>2.9095634811346698</v>
      </c>
      <c r="D32">
        <v>2.7899177715983701</v>
      </c>
      <c r="E32">
        <v>1.7258830745547</v>
      </c>
      <c r="F32">
        <v>2.3988967419410399</v>
      </c>
      <c r="G32">
        <v>0</v>
      </c>
      <c r="H32">
        <v>5.5301683162780204</v>
      </c>
      <c r="I32">
        <v>-2.2563465577720598</v>
      </c>
      <c r="J32">
        <v>76.248537976438797</v>
      </c>
      <c r="K32">
        <v>-25.643534051444998</v>
      </c>
      <c r="L32" s="10">
        <v>275.691909624358</v>
      </c>
    </row>
    <row r="33" spans="1:12" x14ac:dyDescent="0.2">
      <c r="A33" s="6">
        <f t="shared" si="2"/>
        <v>1935</v>
      </c>
      <c r="B33" t="s">
        <v>0</v>
      </c>
      <c r="C33">
        <v>1.5912397870191799</v>
      </c>
      <c r="D33">
        <v>1.50242866178945</v>
      </c>
      <c r="E33">
        <v>-2.38017006025472</v>
      </c>
      <c r="F33">
        <v>2.28029650060334</v>
      </c>
      <c r="G33">
        <v>0</v>
      </c>
      <c r="H33">
        <v>2.43784599899345</v>
      </c>
      <c r="I33">
        <v>-2.2188163043362299</v>
      </c>
      <c r="J33">
        <v>64.599134240893207</v>
      </c>
      <c r="K33">
        <v>-27.480016481252498</v>
      </c>
      <c r="L33" s="10">
        <v>285.216929261193</v>
      </c>
    </row>
    <row r="34" spans="1:12" ht="16" thickBot="1" x14ac:dyDescent="0.25">
      <c r="A34" s="7">
        <f t="shared" si="2"/>
        <v>1936</v>
      </c>
      <c r="B34" s="8" t="s">
        <v>0</v>
      </c>
      <c r="C34" s="8">
        <v>0.72266593225006803</v>
      </c>
      <c r="D34" s="8">
        <v>2.4458474060459898</v>
      </c>
      <c r="E34" s="8">
        <v>-2.5195857938350099</v>
      </c>
      <c r="F34" s="8">
        <v>2.2685743837269401</v>
      </c>
      <c r="G34" s="8">
        <v>0</v>
      </c>
      <c r="H34" s="8">
        <v>4.6220432813286303</v>
      </c>
      <c r="I34" s="8">
        <v>-2.1458881982279698</v>
      </c>
      <c r="J34" s="8">
        <v>70.081632160900895</v>
      </c>
      <c r="K34" s="8">
        <v>-23.464241568073401</v>
      </c>
      <c r="L34" s="11">
        <v>292.21919327265101</v>
      </c>
    </row>
    <row r="35" spans="1:12" x14ac:dyDescent="0.2">
      <c r="A35" s="6">
        <v>1926</v>
      </c>
      <c r="B35" t="s">
        <v>1</v>
      </c>
      <c r="C35">
        <v>1.3571351896777499</v>
      </c>
      <c r="D35">
        <v>23.5761931720284</v>
      </c>
      <c r="E35">
        <v>-36.297961446079903</v>
      </c>
      <c r="F35">
        <v>4.3754940711462398</v>
      </c>
      <c r="G35">
        <v>0</v>
      </c>
      <c r="H35">
        <v>3.17246003565932</v>
      </c>
      <c r="I35">
        <v>-0.73362861483789299</v>
      </c>
      <c r="J35">
        <v>33.1099595756803</v>
      </c>
      <c r="K35">
        <v>-34.531227217496898</v>
      </c>
      <c r="L35" s="10">
        <v>112.268803945746</v>
      </c>
    </row>
    <row r="36" spans="1:12" x14ac:dyDescent="0.2">
      <c r="A36" s="6">
        <f>A35+1</f>
        <v>1927</v>
      </c>
      <c r="B36" t="s">
        <v>1</v>
      </c>
      <c r="C36">
        <v>0.65794671418450401</v>
      </c>
      <c r="D36">
        <v>35.240849681246402</v>
      </c>
      <c r="E36">
        <v>-29.869844593623601</v>
      </c>
      <c r="F36">
        <v>1.9565217391304299</v>
      </c>
      <c r="G36">
        <v>0</v>
      </c>
      <c r="H36">
        <v>1.63179469986742</v>
      </c>
      <c r="I36">
        <v>1.91540699920171</v>
      </c>
      <c r="J36">
        <v>46.083724463495997</v>
      </c>
      <c r="K36">
        <v>-13.427946537059499</v>
      </c>
      <c r="L36" s="10">
        <v>165.08109646210701</v>
      </c>
    </row>
    <row r="37" spans="1:12" x14ac:dyDescent="0.2">
      <c r="A37" s="6">
        <f t="shared" ref="A37:A47" si="3">A36+1</f>
        <v>1928</v>
      </c>
      <c r="B37" t="s">
        <v>1</v>
      </c>
      <c r="C37">
        <v>0.79132226969235098</v>
      </c>
      <c r="D37">
        <v>-16.011273291161</v>
      </c>
      <c r="E37">
        <v>-10.457391554269</v>
      </c>
      <c r="F37">
        <v>2.7747035573122498</v>
      </c>
      <c r="G37">
        <v>0</v>
      </c>
      <c r="H37">
        <v>3.6556894896450798</v>
      </c>
      <c r="I37">
        <v>-1.4591970746530001</v>
      </c>
      <c r="J37">
        <v>68.664912233104502</v>
      </c>
      <c r="K37">
        <v>-17.681652490886901</v>
      </c>
      <c r="L37" s="10">
        <v>107.01887508299301</v>
      </c>
    </row>
    <row r="38" spans="1:12" x14ac:dyDescent="0.2">
      <c r="A38" s="6">
        <f t="shared" si="3"/>
        <v>1929</v>
      </c>
      <c r="B38" t="s">
        <v>1</v>
      </c>
      <c r="C38">
        <v>2.08487730522338</v>
      </c>
      <c r="D38">
        <v>13.770645137470099</v>
      </c>
      <c r="E38">
        <v>-10.8416990002258</v>
      </c>
      <c r="F38">
        <v>3.3794466403161998</v>
      </c>
      <c r="G38">
        <v>0</v>
      </c>
      <c r="H38">
        <v>8.0088691120220599</v>
      </c>
      <c r="I38">
        <v>-0.91007648134318497</v>
      </c>
      <c r="J38">
        <v>99.922407010499398</v>
      </c>
      <c r="K38">
        <v>-8.4782503037666803</v>
      </c>
      <c r="L38" s="10">
        <v>109.45176894622</v>
      </c>
    </row>
    <row r="39" spans="1:12" x14ac:dyDescent="0.2">
      <c r="A39" s="6">
        <f t="shared" si="3"/>
        <v>1930</v>
      </c>
      <c r="B39" t="s">
        <v>1</v>
      </c>
      <c r="C39">
        <v>2.3456922647545002</v>
      </c>
      <c r="D39">
        <v>2.57981145543607</v>
      </c>
      <c r="E39">
        <v>-5.1082917616143897</v>
      </c>
      <c r="F39">
        <v>1.8498023715415</v>
      </c>
      <c r="G39">
        <v>0</v>
      </c>
      <c r="H39">
        <v>5.6142088660642102</v>
      </c>
      <c r="I39">
        <v>-0.31313573507068698</v>
      </c>
      <c r="J39">
        <v>86.359369489134195</v>
      </c>
      <c r="K39">
        <v>-8.6260024301336298</v>
      </c>
      <c r="L39" s="10">
        <v>109.45176894622</v>
      </c>
    </row>
    <row r="40" spans="1:12" x14ac:dyDescent="0.2">
      <c r="A40" s="6">
        <f t="shared" si="3"/>
        <v>1931</v>
      </c>
      <c r="B40" t="s">
        <v>1</v>
      </c>
      <c r="C40">
        <v>0.49759548294295702</v>
      </c>
      <c r="D40">
        <v>6.0499175425210003</v>
      </c>
      <c r="E40">
        <v>-0.88255219560264198</v>
      </c>
      <c r="F40">
        <v>1.0671936758893199</v>
      </c>
      <c r="G40">
        <v>0</v>
      </c>
      <c r="H40">
        <v>-2.77167370201611</v>
      </c>
      <c r="I40">
        <v>-1.1047562640022599</v>
      </c>
      <c r="J40">
        <v>70.885265471119595</v>
      </c>
      <c r="K40">
        <v>2.69258809234509</v>
      </c>
      <c r="L40" s="10">
        <v>106.705871194157</v>
      </c>
    </row>
    <row r="41" spans="1:12" x14ac:dyDescent="0.2">
      <c r="A41" s="6">
        <f t="shared" si="3"/>
        <v>1932</v>
      </c>
      <c r="B41" t="s">
        <v>1</v>
      </c>
      <c r="C41">
        <v>-1.04911011399986</v>
      </c>
      <c r="D41">
        <v>-11.945011937873799</v>
      </c>
      <c r="E41">
        <v>9.3426536100675701</v>
      </c>
      <c r="F41">
        <v>0.56916996047430801</v>
      </c>
      <c r="G41">
        <v>0</v>
      </c>
      <c r="H41">
        <v>-5.0154676094542898</v>
      </c>
      <c r="I41">
        <v>-1.79478793809388</v>
      </c>
      <c r="J41">
        <v>53.483816706910098</v>
      </c>
      <c r="K41">
        <v>8.7893074119076502</v>
      </c>
      <c r="L41" s="10">
        <v>106.705871194157</v>
      </c>
    </row>
    <row r="42" spans="1:12" x14ac:dyDescent="0.2">
      <c r="A42" s="6">
        <f t="shared" si="3"/>
        <v>1933</v>
      </c>
      <c r="B42" t="s">
        <v>1</v>
      </c>
      <c r="C42">
        <v>-1.83373408617617</v>
      </c>
      <c r="D42">
        <v>-11.1610505328968</v>
      </c>
      <c r="E42">
        <v>1.0012112253905601</v>
      </c>
      <c r="F42">
        <v>1.35177865612648</v>
      </c>
      <c r="G42">
        <v>0</v>
      </c>
      <c r="H42">
        <v>-3.4821170052269799</v>
      </c>
      <c r="I42">
        <v>-2.9668065820307401</v>
      </c>
      <c r="J42">
        <v>64.940448737079095</v>
      </c>
      <c r="K42">
        <v>4.5044957472661302</v>
      </c>
      <c r="L42" s="10">
        <v>104.99857725504999</v>
      </c>
    </row>
    <row r="43" spans="1:12" x14ac:dyDescent="0.2">
      <c r="A43" s="6">
        <f t="shared" si="3"/>
        <v>1934</v>
      </c>
      <c r="B43" t="s">
        <v>1</v>
      </c>
      <c r="C43">
        <v>-1.5740462440155401</v>
      </c>
      <c r="D43">
        <v>0.64316833632807402</v>
      </c>
      <c r="E43">
        <v>0.55285253844101501</v>
      </c>
      <c r="F43">
        <v>2.8814229249011798</v>
      </c>
      <c r="G43">
        <v>0</v>
      </c>
      <c r="H43">
        <v>-0.25494887307416197</v>
      </c>
      <c r="I43">
        <v>-2.5665542193495199</v>
      </c>
      <c r="J43">
        <v>64.940448737079095</v>
      </c>
      <c r="K43">
        <v>30.7829890643985</v>
      </c>
      <c r="L43" s="10">
        <v>104.99857725504999</v>
      </c>
    </row>
    <row r="44" spans="1:12" x14ac:dyDescent="0.2">
      <c r="A44" s="6">
        <f t="shared" si="3"/>
        <v>1935</v>
      </c>
      <c r="B44" t="s">
        <v>1</v>
      </c>
      <c r="C44">
        <v>-1.70682067025912</v>
      </c>
      <c r="D44">
        <v>-11.5659536761266</v>
      </c>
      <c r="E44">
        <v>0.55285253844101501</v>
      </c>
      <c r="F44">
        <v>3.4861660079051302</v>
      </c>
      <c r="G44">
        <v>0</v>
      </c>
      <c r="H44">
        <v>-3.4953749561878</v>
      </c>
      <c r="I44">
        <v>-2.3361058893209301</v>
      </c>
      <c r="J44">
        <v>59.552348137496899</v>
      </c>
      <c r="K44">
        <v>17.147023086269702</v>
      </c>
      <c r="L44" s="10">
        <v>104.799392962155</v>
      </c>
    </row>
    <row r="45" spans="1:12" x14ac:dyDescent="0.2">
      <c r="A45" s="6">
        <f t="shared" si="3"/>
        <v>1936</v>
      </c>
      <c r="B45" t="s">
        <v>1</v>
      </c>
      <c r="C45">
        <v>-1.48688250069773</v>
      </c>
      <c r="D45">
        <v>-1.2590149408028899</v>
      </c>
      <c r="E45">
        <v>9.7088953213853397</v>
      </c>
      <c r="F45">
        <v>5.7272727272727204</v>
      </c>
      <c r="G45">
        <v>0</v>
      </c>
      <c r="H45">
        <v>-1.8289876716294999</v>
      </c>
      <c r="I45">
        <v>-4.8154919784717899E-2</v>
      </c>
      <c r="J45">
        <v>49.3393743726091</v>
      </c>
      <c r="K45">
        <v>24.274119076549201</v>
      </c>
      <c r="L45" s="10">
        <v>104.799392962155</v>
      </c>
    </row>
    <row r="46" spans="1:12" x14ac:dyDescent="0.2">
      <c r="A46" s="6">
        <f t="shared" si="3"/>
        <v>1937</v>
      </c>
      <c r="B46" t="s">
        <v>1</v>
      </c>
      <c r="C46">
        <v>-0.12509929367311301</v>
      </c>
      <c r="D46">
        <v>26.238215964752499</v>
      </c>
      <c r="E46">
        <v>-10.6002750918683</v>
      </c>
      <c r="F46">
        <v>2.09881422924901</v>
      </c>
      <c r="G46">
        <v>0</v>
      </c>
      <c r="H46">
        <v>0.79837247222688001</v>
      </c>
      <c r="I46">
        <v>-1.1481729456905101</v>
      </c>
      <c r="J46">
        <v>57.481754795301001</v>
      </c>
      <c r="K46">
        <v>6.4933171324423098</v>
      </c>
      <c r="L46" s="10">
        <v>104.770938063169</v>
      </c>
    </row>
    <row r="47" spans="1:12" ht="16" thickBot="1" x14ac:dyDescent="0.25">
      <c r="A47" s="6">
        <f t="shared" si="3"/>
        <v>1938</v>
      </c>
      <c r="B47" t="s">
        <v>1</v>
      </c>
      <c r="C47">
        <v>0.498572317997382</v>
      </c>
      <c r="D47">
        <v>17.640485391488401</v>
      </c>
      <c r="E47">
        <v>-20.695736076040301</v>
      </c>
      <c r="F47">
        <v>2.7747035573122498</v>
      </c>
      <c r="G47">
        <v>0</v>
      </c>
      <c r="H47">
        <v>-0.23391901982596799</v>
      </c>
      <c r="I47">
        <v>-0.916643061313829</v>
      </c>
      <c r="J47">
        <v>31.853278710762599</v>
      </c>
      <c r="K47">
        <v>-8.6376670716889201</v>
      </c>
      <c r="L47" s="10">
        <v>204.434221758512</v>
      </c>
    </row>
    <row r="48" spans="1:12" x14ac:dyDescent="0.2">
      <c r="A48" s="4">
        <v>1941</v>
      </c>
      <c r="B48" s="5" t="s">
        <v>16</v>
      </c>
      <c r="C48" s="5">
        <v>-0.134366265319286</v>
      </c>
      <c r="D48" s="5">
        <v>13.945967213114701</v>
      </c>
      <c r="E48" s="5">
        <v>-13.201350445597299</v>
      </c>
      <c r="F48" s="5">
        <v>0.95958777708632903</v>
      </c>
      <c r="G48" s="5">
        <v>11.8919590189382</v>
      </c>
      <c r="H48" s="5">
        <v>11.3529777962232</v>
      </c>
      <c r="I48" s="5">
        <v>-2.0925043256831302</v>
      </c>
      <c r="J48" s="5">
        <v>59.936182701029701</v>
      </c>
      <c r="K48" s="5">
        <v>10.287413280475601</v>
      </c>
      <c r="L48" s="9">
        <v>120.111485990905</v>
      </c>
    </row>
    <row r="49" spans="1:12" x14ac:dyDescent="0.2">
      <c r="A49" s="6">
        <f>A48+1</f>
        <v>1942</v>
      </c>
      <c r="B49" t="s">
        <v>16</v>
      </c>
      <c r="C49">
        <v>0.60757095248333703</v>
      </c>
      <c r="D49">
        <v>7.4575737704918001</v>
      </c>
      <c r="E49">
        <v>-8.4507112181317297</v>
      </c>
      <c r="F49">
        <v>0.952753159803438</v>
      </c>
      <c r="G49">
        <v>12.441477801924799</v>
      </c>
      <c r="H49">
        <v>2.6063498651172399</v>
      </c>
      <c r="I49">
        <v>-1.5402125297900799</v>
      </c>
      <c r="J49">
        <v>75.843124699855906</v>
      </c>
      <c r="K49">
        <v>12.3785926660059</v>
      </c>
      <c r="L49" s="10">
        <v>105.31025377732099</v>
      </c>
    </row>
    <row r="50" spans="1:12" x14ac:dyDescent="0.2">
      <c r="A50" s="6">
        <f t="shared" ref="A50:A59" si="4">A49+1</f>
        <v>1943</v>
      </c>
      <c r="B50" t="s">
        <v>16</v>
      </c>
      <c r="C50">
        <v>1.0967399483981899</v>
      </c>
      <c r="D50">
        <v>5.5687868852458902</v>
      </c>
      <c r="E50">
        <v>7.6533525308442796</v>
      </c>
      <c r="F50">
        <v>0.952753159803438</v>
      </c>
      <c r="G50">
        <v>13.7926109903756</v>
      </c>
      <c r="H50">
        <v>2.5188490004841899</v>
      </c>
      <c r="I50">
        <v>-1.4436600176291901</v>
      </c>
      <c r="J50">
        <v>94.511071981217597</v>
      </c>
      <c r="K50">
        <v>9.8529897588371096</v>
      </c>
      <c r="L50" s="10">
        <v>104.95819275341</v>
      </c>
    </row>
    <row r="51" spans="1:12" x14ac:dyDescent="0.2">
      <c r="A51" s="6">
        <f t="shared" si="4"/>
        <v>1944</v>
      </c>
      <c r="B51" t="s">
        <v>16</v>
      </c>
      <c r="C51">
        <v>1.1591861965168699</v>
      </c>
      <c r="D51">
        <v>4.4414426229508104</v>
      </c>
      <c r="E51">
        <v>21.210436164138699</v>
      </c>
      <c r="F51">
        <v>0.95692152528915697</v>
      </c>
      <c r="G51">
        <v>14.5625582117354</v>
      </c>
      <c r="H51">
        <v>-0.171543197067165</v>
      </c>
      <c r="I51">
        <v>-1.61836864614279</v>
      </c>
      <c r="J51">
        <v>104.77989434928701</v>
      </c>
      <c r="K51">
        <v>9.9768747935249191</v>
      </c>
      <c r="L51" s="10">
        <v>106.366436849053</v>
      </c>
    </row>
    <row r="52" spans="1:12" x14ac:dyDescent="0.2">
      <c r="A52" s="6">
        <f t="shared" si="4"/>
        <v>1945</v>
      </c>
      <c r="B52" t="s">
        <v>16</v>
      </c>
      <c r="C52">
        <v>0.51174478606751195</v>
      </c>
      <c r="D52">
        <v>4.0220327868852399</v>
      </c>
      <c r="E52">
        <v>26.4168507807263</v>
      </c>
      <c r="F52">
        <v>0.95087551769275402</v>
      </c>
      <c r="G52">
        <v>16.0376694608299</v>
      </c>
      <c r="H52">
        <v>-7.1664245694127402</v>
      </c>
      <c r="I52">
        <v>-1.61836864614279</v>
      </c>
      <c r="J52">
        <v>109.992849901285</v>
      </c>
      <c r="K52">
        <v>6.8913115295671998</v>
      </c>
      <c r="L52" s="10">
        <v>109.417632389614</v>
      </c>
    </row>
    <row r="53" spans="1:12" x14ac:dyDescent="0.2">
      <c r="A53" s="6">
        <f t="shared" si="4"/>
        <v>1946</v>
      </c>
      <c r="B53" t="s">
        <v>16</v>
      </c>
      <c r="C53">
        <v>2.3623951838314498E-2</v>
      </c>
      <c r="D53">
        <v>3.94649180327868</v>
      </c>
      <c r="E53">
        <v>31.504108432837601</v>
      </c>
      <c r="F53">
        <v>0.46527971502757398</v>
      </c>
      <c r="G53">
        <v>16.557797785366802</v>
      </c>
      <c r="H53">
        <v>-4.3193608632496199</v>
      </c>
      <c r="I53">
        <v>-2.0090349645783601</v>
      </c>
      <c r="J53">
        <v>115.151165892961</v>
      </c>
      <c r="K53">
        <v>3.6389164188965801</v>
      </c>
      <c r="L53" s="10">
        <v>109.16825583101</v>
      </c>
    </row>
    <row r="54" spans="1:12" x14ac:dyDescent="0.2">
      <c r="A54" s="6">
        <f t="shared" si="4"/>
        <v>1947</v>
      </c>
      <c r="B54" t="s">
        <v>16</v>
      </c>
      <c r="C54">
        <v>-0.158232100623521</v>
      </c>
      <c r="D54">
        <v>3.9887213114754001</v>
      </c>
      <c r="E54">
        <v>28.569123451580001</v>
      </c>
      <c r="F54">
        <v>0.458182227849187</v>
      </c>
      <c r="G54">
        <v>17.105453792817901</v>
      </c>
      <c r="H54">
        <v>-2.1397938714809399</v>
      </c>
      <c r="I54">
        <v>-1.5224445822859101</v>
      </c>
      <c r="J54">
        <v>116.47959020329699</v>
      </c>
      <c r="K54">
        <v>-4.1328047571853501</v>
      </c>
      <c r="L54" s="10">
        <v>109.16825583101</v>
      </c>
    </row>
    <row r="55" spans="1:12" x14ac:dyDescent="0.2">
      <c r="A55" s="6">
        <f t="shared" si="4"/>
        <v>1948</v>
      </c>
      <c r="B55" t="s">
        <v>16</v>
      </c>
      <c r="C55">
        <v>-3.3863685228982997E-2</v>
      </c>
      <c r="D55">
        <v>7.5567213114754104</v>
      </c>
      <c r="E55">
        <v>15.9466772583968</v>
      </c>
      <c r="F55">
        <v>0.44898178150683399</v>
      </c>
      <c r="G55">
        <v>15.7315533478215</v>
      </c>
      <c r="H55">
        <v>0.35622881649027899</v>
      </c>
      <c r="I55">
        <v>-2.1785446116679101</v>
      </c>
      <c r="J55">
        <v>119.390854276719</v>
      </c>
      <c r="K55">
        <v>-1.33961017509085</v>
      </c>
      <c r="L55" s="10">
        <v>111.207275927827</v>
      </c>
    </row>
    <row r="56" spans="1:12" x14ac:dyDescent="0.2">
      <c r="A56" s="6">
        <f t="shared" si="4"/>
        <v>1949</v>
      </c>
      <c r="B56" t="s">
        <v>16</v>
      </c>
      <c r="C56">
        <v>-0.19661094388303599</v>
      </c>
      <c r="D56">
        <v>3.6915409836065498</v>
      </c>
      <c r="E56">
        <v>-4.3688404537894296</v>
      </c>
      <c r="F56">
        <v>0.44898178150683399</v>
      </c>
      <c r="G56">
        <v>14.2262237400393</v>
      </c>
      <c r="H56">
        <v>2.5316455696202498</v>
      </c>
      <c r="I56">
        <v>-1.70937938689562</v>
      </c>
      <c r="J56">
        <v>106.08612133824199</v>
      </c>
      <c r="K56">
        <v>2.06640237859264</v>
      </c>
      <c r="L56" s="10">
        <v>121.182338271967</v>
      </c>
    </row>
    <row r="57" spans="1:12" x14ac:dyDescent="0.2">
      <c r="A57" s="6">
        <f t="shared" si="4"/>
        <v>1950</v>
      </c>
      <c r="B57" t="s">
        <v>16</v>
      </c>
      <c r="C57">
        <v>-0.285583745431091</v>
      </c>
      <c r="D57">
        <v>3.2375081967213002</v>
      </c>
      <c r="E57">
        <v>-8.8424397388476397</v>
      </c>
      <c r="F57">
        <v>0.437415506105018</v>
      </c>
      <c r="G57">
        <v>13.7205836696678</v>
      </c>
      <c r="H57">
        <v>3.4287888220239302</v>
      </c>
      <c r="I57">
        <v>-2.1965982174920802</v>
      </c>
      <c r="J57">
        <v>75.332586308094506</v>
      </c>
      <c r="K57">
        <v>-20.459200528576101</v>
      </c>
      <c r="L57" s="10">
        <v>119.99413231626799</v>
      </c>
    </row>
    <row r="58" spans="1:12" x14ac:dyDescent="0.2">
      <c r="A58" s="6">
        <f t="shared" si="4"/>
        <v>1951</v>
      </c>
      <c r="B58" t="s">
        <v>16</v>
      </c>
      <c r="C58">
        <v>-1.89475381638359E-3</v>
      </c>
      <c r="D58">
        <v>7.2060327868852401</v>
      </c>
      <c r="E58">
        <v>-11.792319340664699</v>
      </c>
      <c r="F58">
        <v>0.47906160811999698</v>
      </c>
      <c r="G58">
        <v>12.8779882024216</v>
      </c>
      <c r="H58">
        <v>3.74593622466625</v>
      </c>
      <c r="I58">
        <v>-1.9145391923215</v>
      </c>
      <c r="J58">
        <v>89.012966223787402</v>
      </c>
      <c r="K58">
        <v>-16.841757515692102</v>
      </c>
      <c r="L58" s="10">
        <v>159.718351180871</v>
      </c>
    </row>
    <row r="59" spans="1:12" x14ac:dyDescent="0.2">
      <c r="A59" s="6">
        <f t="shared" si="4"/>
        <v>1952</v>
      </c>
      <c r="B59" t="s">
        <v>16</v>
      </c>
      <c r="C59">
        <v>-0.45961889916146997</v>
      </c>
      <c r="D59">
        <v>10.317377049180299</v>
      </c>
      <c r="E59">
        <v>-13.2184792592408</v>
      </c>
      <c r="F59">
        <v>2.4187785669835402</v>
      </c>
      <c r="G59">
        <v>12.303839387353801</v>
      </c>
      <c r="H59">
        <v>1.1471951303866701</v>
      </c>
      <c r="I59">
        <v>-1.532328360158</v>
      </c>
      <c r="J59">
        <v>70.056453764473503</v>
      </c>
      <c r="K59">
        <v>-15.1139742319127</v>
      </c>
      <c r="L59" s="10">
        <v>164.57385946897401</v>
      </c>
    </row>
    <row r="60" spans="1:12" ht="16" thickBot="1" x14ac:dyDescent="0.25">
      <c r="A60" s="7">
        <v>1953</v>
      </c>
      <c r="B60" s="8" t="s">
        <v>16</v>
      </c>
      <c r="C60" s="8">
        <v>-0.786725972909051</v>
      </c>
      <c r="D60" s="8">
        <v>5.5887213114754104</v>
      </c>
      <c r="E60" s="8">
        <v>-14.607402626418001</v>
      </c>
      <c r="F60" s="8">
        <v>2.4266271110062001</v>
      </c>
      <c r="G60" s="8">
        <v>11.938942357445899</v>
      </c>
      <c r="H60" s="8">
        <v>3.50591409006018</v>
      </c>
      <c r="I60" s="8">
        <v>-1.1422904900264399</v>
      </c>
      <c r="J60" s="8">
        <v>80.832399551784803</v>
      </c>
      <c r="K60" s="8">
        <v>-10.181698050875401</v>
      </c>
      <c r="L60" s="11">
        <v>154.10004400762699</v>
      </c>
    </row>
    <row r="61" spans="1:12" x14ac:dyDescent="0.2">
      <c r="A61" s="6">
        <v>1943</v>
      </c>
      <c r="B61" t="s">
        <v>29</v>
      </c>
      <c r="C61">
        <v>0.47611383028373699</v>
      </c>
      <c r="D61">
        <v>5.20765690527403</v>
      </c>
      <c r="E61">
        <v>-1.09067967439641</v>
      </c>
      <c r="F61">
        <v>0.27005676983451399</v>
      </c>
      <c r="G61">
        <v>13.946883495503901</v>
      </c>
      <c r="H61">
        <v>12.0499229863187</v>
      </c>
      <c r="I61">
        <v>-1.6826902162091599</v>
      </c>
      <c r="J61">
        <v>89.801860246990699</v>
      </c>
      <c r="K61">
        <v>-11.0212998361551</v>
      </c>
      <c r="L61" s="10">
        <v>101.30878904670701</v>
      </c>
    </row>
    <row r="62" spans="1:12" x14ac:dyDescent="0.2">
      <c r="A62" s="6">
        <f>A61+1</f>
        <v>1944</v>
      </c>
      <c r="B62" t="s">
        <v>29</v>
      </c>
      <c r="C62">
        <v>0.67344997187750499</v>
      </c>
      <c r="D62">
        <v>3.4597868275273602</v>
      </c>
      <c r="E62">
        <v>12.544970532568</v>
      </c>
      <c r="F62">
        <v>0.26721192801533999</v>
      </c>
      <c r="G62">
        <v>16.2667142312376</v>
      </c>
      <c r="H62">
        <v>2.9423756455558499</v>
      </c>
      <c r="I62">
        <v>-1.66937834428155</v>
      </c>
      <c r="J62">
        <v>102.48163201500699</v>
      </c>
      <c r="K62">
        <v>-17.344620425996698</v>
      </c>
      <c r="L62" s="10">
        <v>104.336846077136</v>
      </c>
    </row>
    <row r="63" spans="1:12" x14ac:dyDescent="0.2">
      <c r="A63" s="6">
        <f t="shared" ref="A63:A69" si="5">A62+1</f>
        <v>1945</v>
      </c>
      <c r="B63" t="s">
        <v>29</v>
      </c>
      <c r="C63">
        <v>0.342083218649401</v>
      </c>
      <c r="D63">
        <v>3.6124442735433</v>
      </c>
      <c r="E63">
        <v>30.313139550987099</v>
      </c>
      <c r="F63">
        <v>0.26721192801533999</v>
      </c>
      <c r="G63">
        <v>16.699592830871001</v>
      </c>
      <c r="H63">
        <v>-6.8881942556854199</v>
      </c>
      <c r="I63">
        <v>-1.2344368556140399</v>
      </c>
      <c r="J63">
        <v>137.290917617633</v>
      </c>
      <c r="K63">
        <v>-27.5084653194975</v>
      </c>
      <c r="L63" s="10">
        <v>104.993396760369</v>
      </c>
    </row>
    <row r="64" spans="1:12" x14ac:dyDescent="0.2">
      <c r="A64" s="6">
        <f t="shared" si="5"/>
        <v>1946</v>
      </c>
      <c r="B64" t="s">
        <v>29</v>
      </c>
      <c r="C64">
        <v>3.0821057166448E-2</v>
      </c>
      <c r="D64">
        <v>13.7464761652987</v>
      </c>
      <c r="E64">
        <v>15.979503593026299</v>
      </c>
      <c r="F64">
        <v>0.29454272977812501</v>
      </c>
      <c r="G64">
        <v>12.9870222528385</v>
      </c>
      <c r="H64">
        <v>-4.63350548156202</v>
      </c>
      <c r="I64">
        <v>-1.4197154913646799</v>
      </c>
      <c r="J64">
        <v>110.377911521025</v>
      </c>
      <c r="K64">
        <v>-17.853631895139198</v>
      </c>
      <c r="L64" s="10">
        <v>109.75338921381</v>
      </c>
    </row>
    <row r="65" spans="1:12" x14ac:dyDescent="0.2">
      <c r="A65" s="6">
        <f t="shared" si="5"/>
        <v>1947</v>
      </c>
      <c r="B65" t="s">
        <v>29</v>
      </c>
      <c r="C65">
        <v>0.16084271747064999</v>
      </c>
      <c r="D65">
        <v>10.6512214758648</v>
      </c>
      <c r="E65">
        <v>2.8738055303368499</v>
      </c>
      <c r="F65">
        <v>0.69454780985280296</v>
      </c>
      <c r="G65">
        <v>12.5218161465316</v>
      </c>
      <c r="H65">
        <v>-0.14632599438253599</v>
      </c>
      <c r="I65">
        <v>-1.1709226954365499</v>
      </c>
      <c r="J65">
        <v>112.687587931843</v>
      </c>
      <c r="K65">
        <v>-12.054614964500299</v>
      </c>
      <c r="L65" s="10">
        <v>109.40058755356699</v>
      </c>
    </row>
    <row r="66" spans="1:12" x14ac:dyDescent="0.2">
      <c r="A66" s="6">
        <f t="shared" si="5"/>
        <v>1948</v>
      </c>
      <c r="B66" t="s">
        <v>29</v>
      </c>
      <c r="C66">
        <v>4.8143317018297403E-2</v>
      </c>
      <c r="D66">
        <v>4.9415638255686698</v>
      </c>
      <c r="E66">
        <v>-8.8950097711850002</v>
      </c>
      <c r="F66">
        <v>0.97039586481921103</v>
      </c>
      <c r="G66">
        <v>11.321269974044499</v>
      </c>
      <c r="H66">
        <v>-0.81861012956420598</v>
      </c>
      <c r="I66">
        <v>-0.98425196850393604</v>
      </c>
      <c r="J66">
        <v>112.13068625918299</v>
      </c>
      <c r="K66">
        <v>-1.3096668487165699</v>
      </c>
      <c r="L66" s="10">
        <v>120.739293318599</v>
      </c>
    </row>
    <row r="67" spans="1:12" x14ac:dyDescent="0.2">
      <c r="A67" s="6">
        <f t="shared" si="5"/>
        <v>1949</v>
      </c>
      <c r="B67" t="s">
        <v>29</v>
      </c>
      <c r="C67">
        <v>-9.5490827280016705E-2</v>
      </c>
      <c r="D67">
        <v>1.53138105480718</v>
      </c>
      <c r="E67">
        <v>-8.3041223629341196</v>
      </c>
      <c r="F67">
        <v>0.99914908749158404</v>
      </c>
      <c r="G67">
        <v>11.232037198774799</v>
      </c>
      <c r="H67">
        <v>0.60840808190631801</v>
      </c>
      <c r="I67">
        <v>-0.78496541523469698</v>
      </c>
      <c r="J67">
        <v>112.13068625918299</v>
      </c>
      <c r="K67">
        <v>13.026761332605099</v>
      </c>
      <c r="L67" s="10">
        <v>119.580896423469</v>
      </c>
    </row>
    <row r="68" spans="1:12" x14ac:dyDescent="0.2">
      <c r="A68" s="6">
        <f t="shared" si="5"/>
        <v>1950</v>
      </c>
      <c r="B68" t="s">
        <v>29</v>
      </c>
      <c r="C68">
        <v>0.58567188827591199</v>
      </c>
      <c r="D68">
        <v>4.8521611651185301</v>
      </c>
      <c r="E68">
        <v>-6.5462323233877502</v>
      </c>
      <c r="F68">
        <v>1.2439070854341501</v>
      </c>
      <c r="G68">
        <v>10.2281131216709</v>
      </c>
      <c r="H68">
        <v>10.908308417142299</v>
      </c>
      <c r="I68">
        <v>-0.80893548527428505</v>
      </c>
      <c r="J68">
        <v>137.98851023917399</v>
      </c>
      <c r="K68">
        <v>9.1938831239759509</v>
      </c>
      <c r="L68" s="10">
        <v>113.24744629814199</v>
      </c>
    </row>
    <row r="69" spans="1:12" ht="16" thickBot="1" x14ac:dyDescent="0.25">
      <c r="A69" s="6">
        <f t="shared" si="5"/>
        <v>1951</v>
      </c>
      <c r="B69" t="s">
        <v>29</v>
      </c>
      <c r="C69">
        <v>0.681587544726732</v>
      </c>
      <c r="D69">
        <v>6.5906103173553996</v>
      </c>
      <c r="E69">
        <v>-6.8305968886084898</v>
      </c>
      <c r="F69">
        <v>1.5817320514611499</v>
      </c>
      <c r="G69">
        <v>10.1388803464012</v>
      </c>
      <c r="H69">
        <v>4.7087070761982401</v>
      </c>
      <c r="I69">
        <v>-0.88284682646713297</v>
      </c>
      <c r="J69">
        <v>167.2698139753</v>
      </c>
      <c r="K69">
        <v>5.3599126160567803</v>
      </c>
      <c r="L69" s="10">
        <v>114.54356790556</v>
      </c>
    </row>
    <row r="70" spans="1:12" x14ac:dyDescent="0.2">
      <c r="A70" s="4">
        <v>1984</v>
      </c>
      <c r="B70" s="5" t="s">
        <v>4</v>
      </c>
      <c r="C70" s="5">
        <v>-0.86622917718324099</v>
      </c>
      <c r="D70" s="5">
        <v>7.2458600952505696</v>
      </c>
      <c r="E70" s="5">
        <v>4.0514791910412802</v>
      </c>
      <c r="F70" s="5">
        <v>7.9501856435643496</v>
      </c>
      <c r="G70" s="5">
        <v>5.3721014243445904</v>
      </c>
      <c r="H70" s="5">
        <v>10.283261802575099</v>
      </c>
      <c r="I70" s="5">
        <v>-4.1709287651760096</v>
      </c>
      <c r="J70" s="5">
        <v>28.125</v>
      </c>
      <c r="K70" s="5">
        <v>-9.8291433146517093</v>
      </c>
      <c r="L70" s="9">
        <v>128.35086377255001</v>
      </c>
    </row>
    <row r="71" spans="1:12" x14ac:dyDescent="0.2">
      <c r="A71" s="6">
        <f>A70+1</f>
        <v>1985</v>
      </c>
      <c r="B71" t="s">
        <v>4</v>
      </c>
      <c r="C71">
        <v>0.61534578495709003</v>
      </c>
      <c r="D71">
        <v>6.0995324856905597</v>
      </c>
      <c r="E71">
        <v>4.4902222965067704</v>
      </c>
      <c r="F71">
        <v>10.084622524752399</v>
      </c>
      <c r="G71">
        <v>5.3721014243445904</v>
      </c>
      <c r="H71">
        <v>5.3390557939914096</v>
      </c>
      <c r="I71">
        <v>-4.2791662435995903</v>
      </c>
      <c r="J71">
        <v>37.5</v>
      </c>
      <c r="K71">
        <v>-8.1088871096877408</v>
      </c>
      <c r="L71" s="10">
        <v>120.226939504047</v>
      </c>
    </row>
    <row r="72" spans="1:12" x14ac:dyDescent="0.2">
      <c r="A72" s="6">
        <f t="shared" ref="A72:A82" si="6">A71+1</f>
        <v>1986</v>
      </c>
      <c r="B72" t="s">
        <v>4</v>
      </c>
      <c r="C72">
        <v>1.56042402826855</v>
      </c>
      <c r="D72">
        <v>9.4082230086948897</v>
      </c>
      <c r="E72">
        <v>12.571452448604299</v>
      </c>
      <c r="F72">
        <v>15.1178836633663</v>
      </c>
      <c r="G72">
        <v>5.5896924241381702</v>
      </c>
      <c r="H72">
        <v>5.4763948497854003</v>
      </c>
      <c r="I72">
        <v>0.42946867611436002</v>
      </c>
      <c r="J72">
        <v>37.5</v>
      </c>
      <c r="K72">
        <v>-0.67926341072857999</v>
      </c>
      <c r="L72" s="10">
        <v>111.230955568304</v>
      </c>
    </row>
    <row r="73" spans="1:12" x14ac:dyDescent="0.2">
      <c r="A73" s="6">
        <f t="shared" si="6"/>
        <v>1987</v>
      </c>
      <c r="B73" t="s">
        <v>4</v>
      </c>
      <c r="C73">
        <v>2.3843008581524399</v>
      </c>
      <c r="D73">
        <v>10.768645956219601</v>
      </c>
      <c r="E73">
        <v>11.6856092261407</v>
      </c>
      <c r="F73">
        <v>13.8787128712871</v>
      </c>
      <c r="G73">
        <v>5.5615151723663399</v>
      </c>
      <c r="H73">
        <v>1.21888412017167</v>
      </c>
      <c r="I73">
        <v>1.8960560479250299</v>
      </c>
      <c r="J73">
        <v>58.125</v>
      </c>
      <c r="K73">
        <v>6.13114491593275</v>
      </c>
      <c r="L73" s="10">
        <v>128.88633900682001</v>
      </c>
    </row>
    <row r="74" spans="1:12" x14ac:dyDescent="0.2">
      <c r="A74" s="6">
        <f t="shared" si="6"/>
        <v>1988</v>
      </c>
      <c r="B74" t="s">
        <v>4</v>
      </c>
      <c r="C74">
        <v>1.42958101968702</v>
      </c>
      <c r="D74">
        <v>7.9456459999126103</v>
      </c>
      <c r="E74">
        <v>11.096439913087</v>
      </c>
      <c r="F74">
        <v>12.695235148514801</v>
      </c>
      <c r="G74">
        <v>5.3235739351819999</v>
      </c>
      <c r="H74">
        <v>-0.15450643776824</v>
      </c>
      <c r="I74">
        <v>1.50229906731843</v>
      </c>
      <c r="J74">
        <v>49.375</v>
      </c>
      <c r="K74">
        <v>9.7796637309847796</v>
      </c>
      <c r="L74" s="10">
        <v>120.69611780455099</v>
      </c>
    </row>
    <row r="75" spans="1:12" x14ac:dyDescent="0.2">
      <c r="A75" s="6">
        <f t="shared" si="6"/>
        <v>1989</v>
      </c>
      <c r="B75" t="s">
        <v>4</v>
      </c>
      <c r="C75">
        <v>-0.35431600201918201</v>
      </c>
      <c r="D75">
        <v>5.43277843317167</v>
      </c>
      <c r="E75">
        <v>0.38692963396289298</v>
      </c>
      <c r="F75">
        <v>10.0943688118811</v>
      </c>
      <c r="G75">
        <v>4.7286004266152899</v>
      </c>
      <c r="H75">
        <v>-0.97854077253218397</v>
      </c>
      <c r="I75">
        <v>0.70320999115185501</v>
      </c>
      <c r="J75">
        <v>73.749999999999901</v>
      </c>
      <c r="K75">
        <v>7.4051240992794201</v>
      </c>
      <c r="L75" s="10">
        <v>112.041818065914</v>
      </c>
    </row>
    <row r="76" spans="1:12" x14ac:dyDescent="0.2">
      <c r="A76" s="6">
        <f t="shared" si="6"/>
        <v>1990</v>
      </c>
      <c r="B76" t="s">
        <v>4</v>
      </c>
      <c r="C76">
        <v>-0.90474507824331196</v>
      </c>
      <c r="D76">
        <v>4.5103333770262504</v>
      </c>
      <c r="E76">
        <v>0.38692963396289298</v>
      </c>
      <c r="F76">
        <v>10.381188118811799</v>
      </c>
      <c r="G76">
        <v>4.17613362691805</v>
      </c>
      <c r="H76">
        <v>2.0429184549356201</v>
      </c>
      <c r="I76">
        <v>0.77103610333473604</v>
      </c>
      <c r="J76">
        <v>95</v>
      </c>
      <c r="K76">
        <v>7.2206565252201704</v>
      </c>
      <c r="L76" s="10">
        <v>116.636705552368</v>
      </c>
    </row>
    <row r="77" spans="1:12" x14ac:dyDescent="0.2">
      <c r="A77" s="6">
        <f t="shared" si="6"/>
        <v>1991</v>
      </c>
      <c r="B77" t="s">
        <v>4</v>
      </c>
      <c r="C77">
        <v>-1.2606764260474499</v>
      </c>
      <c r="D77">
        <v>3.9549089002490501</v>
      </c>
      <c r="E77">
        <v>-3.2316563596857999</v>
      </c>
      <c r="F77">
        <v>10.381188118811799</v>
      </c>
      <c r="G77">
        <v>4.1512075965045003</v>
      </c>
      <c r="H77">
        <v>1.15021459227467</v>
      </c>
      <c r="I77">
        <v>0.37301460669268099</v>
      </c>
      <c r="J77">
        <v>80.625</v>
      </c>
      <c r="K77">
        <v>4.5372297838270503</v>
      </c>
      <c r="L77" s="10">
        <v>92.346528973034907</v>
      </c>
    </row>
    <row r="78" spans="1:12" x14ac:dyDescent="0.2">
      <c r="A78" s="6">
        <f t="shared" si="6"/>
        <v>1992</v>
      </c>
      <c r="B78" t="s">
        <v>4</v>
      </c>
      <c r="C78">
        <v>-1.5308934881373</v>
      </c>
      <c r="D78">
        <v>2.8575173679381298</v>
      </c>
      <c r="E78">
        <v>-1.4307203743941099</v>
      </c>
      <c r="F78">
        <v>10.673576732673199</v>
      </c>
      <c r="G78">
        <v>4.1512075965045003</v>
      </c>
      <c r="H78">
        <v>3.1416309012875501</v>
      </c>
      <c r="I78">
        <v>1.4373159658258501</v>
      </c>
      <c r="J78">
        <v>69.375</v>
      </c>
      <c r="K78">
        <v>9.6643714971977595</v>
      </c>
      <c r="L78" s="10">
        <v>93.738764582138003</v>
      </c>
    </row>
    <row r="79" spans="1:12" x14ac:dyDescent="0.2">
      <c r="A79" s="6">
        <f t="shared" si="6"/>
        <v>1993</v>
      </c>
      <c r="B79" t="s">
        <v>4</v>
      </c>
      <c r="C79">
        <v>-1.24159515396264</v>
      </c>
      <c r="D79">
        <v>3.4918512692795001</v>
      </c>
      <c r="E79">
        <v>3.1071368878488901</v>
      </c>
      <c r="F79">
        <v>8.4876237623762307</v>
      </c>
      <c r="G79">
        <v>4.97810156196243</v>
      </c>
      <c r="H79">
        <v>2.9356223175965601</v>
      </c>
      <c r="I79">
        <v>1.0405129023367801</v>
      </c>
      <c r="J79">
        <v>69.375</v>
      </c>
      <c r="K79">
        <v>1.69959967974379</v>
      </c>
      <c r="L79" s="10">
        <v>104.76955440810799</v>
      </c>
    </row>
    <row r="80" spans="1:12" x14ac:dyDescent="0.2">
      <c r="A80" s="6">
        <f t="shared" si="6"/>
        <v>1994</v>
      </c>
      <c r="B80" t="s">
        <v>4</v>
      </c>
      <c r="C80">
        <v>-0.87708228167592095</v>
      </c>
      <c r="D80">
        <v>1.75584392886791</v>
      </c>
      <c r="E80">
        <v>0.324252047467808</v>
      </c>
      <c r="F80">
        <v>5.2003403465346496</v>
      </c>
      <c r="G80">
        <v>5.4674705841877103</v>
      </c>
      <c r="H80">
        <v>4.4463519313304696</v>
      </c>
      <c r="I80">
        <v>-1.79559333343003</v>
      </c>
      <c r="J80">
        <v>80.625</v>
      </c>
      <c r="K80">
        <v>2.4196957566052899</v>
      </c>
      <c r="L80" s="10">
        <v>121.33358832154001</v>
      </c>
    </row>
    <row r="81" spans="1:12" x14ac:dyDescent="0.2">
      <c r="A81" s="6">
        <f t="shared" si="6"/>
        <v>1995</v>
      </c>
      <c r="B81" t="s">
        <v>4</v>
      </c>
      <c r="C81">
        <v>-0.51640585562847097</v>
      </c>
      <c r="D81">
        <v>2.31799711626687</v>
      </c>
      <c r="E81">
        <v>-9.25706167474514</v>
      </c>
      <c r="F81">
        <v>4.96782178217821</v>
      </c>
      <c r="G81">
        <v>4.53172091103007</v>
      </c>
      <c r="H81">
        <v>4.1716738197424901</v>
      </c>
      <c r="I81">
        <v>-2.30672604110761</v>
      </c>
      <c r="J81">
        <v>88.125</v>
      </c>
      <c r="K81">
        <v>4.2725380304243501</v>
      </c>
      <c r="L81" s="10">
        <v>111.17995792694499</v>
      </c>
    </row>
    <row r="82" spans="1:12" ht="16" thickBot="1" x14ac:dyDescent="0.25">
      <c r="A82" s="7">
        <f t="shared" si="6"/>
        <v>1996</v>
      </c>
      <c r="B82" s="8" t="s">
        <v>4</v>
      </c>
      <c r="C82" s="8">
        <v>7.1781928319030103E-2</v>
      </c>
      <c r="D82" s="8">
        <v>-0.34840739284310002</v>
      </c>
      <c r="E82" s="8">
        <v>-13.3812468661206</v>
      </c>
      <c r="F82" s="8">
        <v>3.8943378712871199</v>
      </c>
      <c r="G82" s="8">
        <v>4.6007190531892901</v>
      </c>
      <c r="H82" s="8">
        <v>4.65236051502146</v>
      </c>
      <c r="I82" s="8">
        <v>-1.77366153667628</v>
      </c>
      <c r="J82" s="8">
        <v>97.499999999999901</v>
      </c>
      <c r="K82" s="8">
        <v>-0.83586869495596205</v>
      </c>
      <c r="L82" s="11">
        <v>108.155797794352</v>
      </c>
    </row>
    <row r="83" spans="1:12" x14ac:dyDescent="0.2">
      <c r="A83" s="4">
        <v>1987</v>
      </c>
      <c r="B83" s="5" t="s">
        <v>5</v>
      </c>
      <c r="C83" s="5">
        <v>1.0069551079396599</v>
      </c>
      <c r="D83" s="5">
        <v>3.1135223524846798</v>
      </c>
      <c r="E83" s="5">
        <v>-4.4863992468310103</v>
      </c>
      <c r="F83" s="5">
        <v>4.8464104032611202</v>
      </c>
      <c r="G83" s="5">
        <v>11.858341559723501</v>
      </c>
      <c r="H83" s="5">
        <v>4.0458887822785803</v>
      </c>
      <c r="I83" s="5">
        <v>-1.41858793608668</v>
      </c>
      <c r="J83" s="5">
        <v>111.866801210898</v>
      </c>
      <c r="K83" s="5">
        <v>11.513003305587601</v>
      </c>
      <c r="L83" s="9">
        <v>113.65317470580599</v>
      </c>
    </row>
    <row r="84" spans="1:12" x14ac:dyDescent="0.2">
      <c r="A84" s="6">
        <f>A83+1</f>
        <v>1988</v>
      </c>
      <c r="B84" t="s">
        <v>5</v>
      </c>
      <c r="C84">
        <v>1.6597416674193799</v>
      </c>
      <c r="D84">
        <v>5.43524292563953</v>
      </c>
      <c r="E84">
        <v>-5.0230321778017197</v>
      </c>
      <c r="F84">
        <v>2.9061078731933998</v>
      </c>
      <c r="G84">
        <v>11.858341559723501</v>
      </c>
      <c r="H84">
        <v>5.1332026198322902</v>
      </c>
      <c r="I84">
        <v>-0.66069552717421198</v>
      </c>
      <c r="J84">
        <v>111.866801210898</v>
      </c>
      <c r="K84">
        <v>16.593253415110102</v>
      </c>
      <c r="L84" s="10">
        <v>110.156472261735</v>
      </c>
    </row>
    <row r="85" spans="1:12" x14ac:dyDescent="0.2">
      <c r="A85" s="6">
        <f t="shared" ref="A85:A95" si="7">A84+1</f>
        <v>1989</v>
      </c>
      <c r="B85" t="s">
        <v>5</v>
      </c>
      <c r="C85">
        <v>2.3174058350645801</v>
      </c>
      <c r="D85">
        <v>6.5183614644826902</v>
      </c>
      <c r="E85">
        <v>1.15295383477351</v>
      </c>
      <c r="F85">
        <v>2.7664319644240698</v>
      </c>
      <c r="G85">
        <v>12.035208950312599</v>
      </c>
      <c r="H85">
        <v>5.5970964915939998</v>
      </c>
      <c r="I85">
        <v>0.167965942389564</v>
      </c>
      <c r="J85">
        <v>105.02522704339</v>
      </c>
      <c r="K85">
        <v>22.934007726313201</v>
      </c>
      <c r="L85" s="10">
        <v>104.218285270916</v>
      </c>
    </row>
    <row r="86" spans="1:12" x14ac:dyDescent="0.2">
      <c r="A86" s="6">
        <f t="shared" si="7"/>
        <v>1990</v>
      </c>
      <c r="B86" t="s">
        <v>5</v>
      </c>
      <c r="C86">
        <v>1.7315508987444601</v>
      </c>
      <c r="D86">
        <v>4.7143649011945303</v>
      </c>
      <c r="E86">
        <v>4.4033489122759502</v>
      </c>
      <c r="F86">
        <v>2.7664319644240698</v>
      </c>
      <c r="G86">
        <v>14.2974662717999</v>
      </c>
      <c r="H86">
        <v>-2.4943473363647701</v>
      </c>
      <c r="I86">
        <v>-0.89998341350140898</v>
      </c>
      <c r="J86">
        <v>105.02522704339</v>
      </c>
      <c r="K86">
        <v>25.1252538930264</v>
      </c>
      <c r="L86" s="10">
        <v>89.259019785335596</v>
      </c>
    </row>
    <row r="87" spans="1:12" x14ac:dyDescent="0.2">
      <c r="A87" s="6">
        <f t="shared" si="7"/>
        <v>1991</v>
      </c>
      <c r="B87" t="s">
        <v>5</v>
      </c>
      <c r="C87">
        <v>0.21122753138831199</v>
      </c>
      <c r="D87">
        <v>3.46329092874366</v>
      </c>
      <c r="E87">
        <v>11.372516055277201</v>
      </c>
      <c r="F87">
        <v>2.7664319644240698</v>
      </c>
      <c r="G87">
        <v>15.979763079960501</v>
      </c>
      <c r="H87">
        <v>-5.9538609152726201</v>
      </c>
      <c r="I87">
        <v>1.20075192126942</v>
      </c>
      <c r="J87">
        <v>66.195761856710703</v>
      </c>
      <c r="K87">
        <v>19.7917081524552</v>
      </c>
      <c r="L87" s="10">
        <v>84.831242725979607</v>
      </c>
    </row>
    <row r="88" spans="1:12" x14ac:dyDescent="0.2">
      <c r="A88" s="6">
        <f t="shared" si="7"/>
        <v>1992</v>
      </c>
      <c r="B88" t="s">
        <v>5</v>
      </c>
      <c r="C88">
        <v>-1.48143799114804</v>
      </c>
      <c r="D88">
        <v>2.45749840636346</v>
      </c>
      <c r="E88">
        <v>14.060388016542699</v>
      </c>
      <c r="F88">
        <v>2.7664319644240698</v>
      </c>
      <c r="G88">
        <v>18.793188548864698</v>
      </c>
      <c r="H88">
        <v>-3.4508364273497198</v>
      </c>
      <c r="I88">
        <v>2.1337977552938501</v>
      </c>
      <c r="J88">
        <v>69.323915237134301</v>
      </c>
      <c r="K88">
        <v>1.3644509936676099</v>
      </c>
      <c r="L88" s="10">
        <v>77.2791930686667</v>
      </c>
    </row>
    <row r="89" spans="1:12" x14ac:dyDescent="0.2">
      <c r="A89" s="6">
        <f t="shared" si="7"/>
        <v>1993</v>
      </c>
      <c r="B89" t="s">
        <v>5</v>
      </c>
      <c r="C89">
        <v>-2.1312437900821899</v>
      </c>
      <c r="D89">
        <v>1.63019317646406</v>
      </c>
      <c r="E89">
        <v>9.6967149725967303</v>
      </c>
      <c r="F89">
        <v>2.7664319644240698</v>
      </c>
      <c r="G89">
        <v>18.126850937808499</v>
      </c>
      <c r="H89">
        <v>0.76826164949313303</v>
      </c>
      <c r="I89">
        <v>-1.2113672803671101</v>
      </c>
      <c r="J89">
        <v>123.895055499495</v>
      </c>
      <c r="K89">
        <v>-15.635031263690299</v>
      </c>
      <c r="L89" s="10">
        <v>96.438639596534301</v>
      </c>
    </row>
    <row r="90" spans="1:12" x14ac:dyDescent="0.2">
      <c r="A90" s="6">
        <f t="shared" si="7"/>
        <v>1994</v>
      </c>
      <c r="B90" t="s">
        <v>5</v>
      </c>
      <c r="C90">
        <v>-1.4128804985999399</v>
      </c>
      <c r="D90">
        <v>2.0672653196973401</v>
      </c>
      <c r="E90">
        <v>6.6557950304293403</v>
      </c>
      <c r="F90">
        <v>2.7664319644240698</v>
      </c>
      <c r="G90">
        <v>15.918065153010801</v>
      </c>
      <c r="H90">
        <v>2.2503858829418699</v>
      </c>
      <c r="I90">
        <v>-5.3336650633051299</v>
      </c>
      <c r="J90">
        <v>191.564076690212</v>
      </c>
      <c r="K90">
        <v>-5.5067903938826799</v>
      </c>
      <c r="L90" s="10">
        <v>95.2178973231605</v>
      </c>
    </row>
    <row r="91" spans="1:12" x14ac:dyDescent="0.2">
      <c r="A91" s="6">
        <f t="shared" si="7"/>
        <v>1995</v>
      </c>
      <c r="B91" t="s">
        <v>5</v>
      </c>
      <c r="C91">
        <v>-1.2973082829012701</v>
      </c>
      <c r="D91">
        <v>-0.27718189628890499</v>
      </c>
      <c r="E91">
        <v>-1.04771191284763</v>
      </c>
      <c r="F91">
        <v>2.7664319644240698</v>
      </c>
      <c r="G91">
        <v>13.5735439289239</v>
      </c>
      <c r="H91">
        <v>4.5161236494096899</v>
      </c>
      <c r="I91">
        <v>-2.4564604412008602</v>
      </c>
      <c r="J91">
        <v>222.98688193743601</v>
      </c>
      <c r="K91">
        <v>2.6727468238480299</v>
      </c>
      <c r="L91" s="10">
        <v>95.2178973231605</v>
      </c>
    </row>
    <row r="92" spans="1:12" x14ac:dyDescent="0.2">
      <c r="A92" s="6">
        <f t="shared" si="7"/>
        <v>1996</v>
      </c>
      <c r="B92" t="s">
        <v>5</v>
      </c>
      <c r="C92">
        <v>-1.1509800379369499</v>
      </c>
      <c r="D92">
        <v>0.71419860868601104</v>
      </c>
      <c r="E92">
        <v>-10.610604888873899</v>
      </c>
      <c r="F92">
        <v>2.7664319644240698</v>
      </c>
      <c r="G92">
        <v>14.7046725896676</v>
      </c>
      <c r="H92">
        <v>3.09440574026948</v>
      </c>
      <c r="I92">
        <v>-3.7431304251672399</v>
      </c>
      <c r="J92">
        <v>295.96367305751801</v>
      </c>
      <c r="K92">
        <v>-5.8688119797682203</v>
      </c>
      <c r="L92" s="10">
        <v>90.769429716798101</v>
      </c>
    </row>
    <row r="93" spans="1:12" x14ac:dyDescent="0.2">
      <c r="A93" s="6">
        <f t="shared" si="7"/>
        <v>1997</v>
      </c>
      <c r="B93" t="s">
        <v>5</v>
      </c>
      <c r="C93">
        <v>-0.83312257248667598</v>
      </c>
      <c r="D93">
        <v>1.4833014606025301</v>
      </c>
      <c r="E93">
        <v>-17.330284792037901</v>
      </c>
      <c r="F93">
        <v>2.7664319644240698</v>
      </c>
      <c r="G93">
        <v>14.001316222441501</v>
      </c>
      <c r="H93">
        <v>6.3730340828500998</v>
      </c>
      <c r="I93">
        <v>-2.9211035550395299</v>
      </c>
      <c r="J93">
        <v>458.97073662966699</v>
      </c>
      <c r="K93">
        <v>-10.866621530128601</v>
      </c>
      <c r="L93" s="10">
        <v>88.596922281132805</v>
      </c>
    </row>
    <row r="94" spans="1:12" x14ac:dyDescent="0.2">
      <c r="A94" s="6">
        <f t="shared" si="7"/>
        <v>1998</v>
      </c>
      <c r="B94" t="s">
        <v>5</v>
      </c>
      <c r="C94">
        <v>-0.34373588655044601</v>
      </c>
      <c r="D94">
        <v>0.795681937862035</v>
      </c>
      <c r="E94">
        <v>-17.857503110184599</v>
      </c>
      <c r="F94">
        <v>2.7664319644240698</v>
      </c>
      <c r="G94">
        <v>13.832675222112499</v>
      </c>
      <c r="H94">
        <v>5.6565016061073603</v>
      </c>
      <c r="I94">
        <v>-0.88317576159672795</v>
      </c>
      <c r="J94">
        <v>574.873864783047</v>
      </c>
      <c r="K94">
        <v>-5.8281890955434204</v>
      </c>
      <c r="L94" s="10">
        <v>80.237941290572905</v>
      </c>
    </row>
    <row r="95" spans="1:12" ht="16" thickBot="1" x14ac:dyDescent="0.25">
      <c r="A95" s="7">
        <f t="shared" si="7"/>
        <v>1999</v>
      </c>
      <c r="B95" s="8" t="s">
        <v>5</v>
      </c>
      <c r="C95" s="8">
        <v>0.37381447023755798</v>
      </c>
      <c r="D95" s="8">
        <v>1.5772567279177401</v>
      </c>
      <c r="E95" s="8">
        <v>-15.294374768837599</v>
      </c>
      <c r="F95" s="8">
        <v>2.7664319644240698</v>
      </c>
      <c r="G95" s="8">
        <v>0</v>
      </c>
      <c r="H95" s="8">
        <v>4.1596929623294701</v>
      </c>
      <c r="I95" s="8">
        <v>-2.4420854757560599</v>
      </c>
      <c r="J95" s="8">
        <v>820.82744702320804</v>
      </c>
      <c r="K95" s="8">
        <v>-10.330160500219</v>
      </c>
      <c r="L95" s="11">
        <v>83.217380059485194</v>
      </c>
    </row>
    <row r="96" spans="1:12" x14ac:dyDescent="0.2">
      <c r="A96" s="4">
        <v>1987</v>
      </c>
      <c r="B96" s="5" t="s">
        <v>6</v>
      </c>
      <c r="C96" s="5">
        <v>1.4362059969582199</v>
      </c>
      <c r="D96" s="5">
        <v>5.0118133837997902</v>
      </c>
      <c r="E96" s="5">
        <v>4.0863245039547502</v>
      </c>
      <c r="F96" s="5">
        <v>9.1403909700132697</v>
      </c>
      <c r="G96" s="5">
        <v>4.5320567618396304</v>
      </c>
      <c r="H96" s="5">
        <v>3.6458481754136001</v>
      </c>
      <c r="I96" s="5">
        <v>-0.67094270641245402</v>
      </c>
      <c r="J96" s="5">
        <v>65.196160969860301</v>
      </c>
      <c r="K96" s="5">
        <v>0.391408037642207</v>
      </c>
      <c r="L96" s="9">
        <v>136.69414123412699</v>
      </c>
    </row>
    <row r="97" spans="1:12" x14ac:dyDescent="0.2">
      <c r="A97" s="6">
        <f>A96+1</f>
        <v>1988</v>
      </c>
      <c r="B97" t="s">
        <v>6</v>
      </c>
      <c r="C97">
        <v>1.97861876797033</v>
      </c>
      <c r="D97">
        <v>5.4416794987833903</v>
      </c>
      <c r="E97">
        <v>5.2632294925860599</v>
      </c>
      <c r="F97">
        <v>10.6397270004014</v>
      </c>
      <c r="G97">
        <v>4.2140536843904899</v>
      </c>
      <c r="H97">
        <v>1.38621071796089</v>
      </c>
      <c r="I97">
        <v>-1.1042765742507601</v>
      </c>
      <c r="J97">
        <v>79.104226300724093</v>
      </c>
      <c r="K97">
        <v>2.3270166618324502</v>
      </c>
      <c r="L97" s="10">
        <v>137.00824237023801</v>
      </c>
    </row>
    <row r="98" spans="1:12" x14ac:dyDescent="0.2">
      <c r="A98" s="6">
        <f t="shared" ref="A98:A109" si="8">A97+1</f>
        <v>1989</v>
      </c>
      <c r="B98" t="s">
        <v>6</v>
      </c>
      <c r="C98">
        <v>2.5901930527647901</v>
      </c>
      <c r="D98">
        <v>6.2902448485418399</v>
      </c>
      <c r="E98">
        <v>5.3774996599102201</v>
      </c>
      <c r="F98">
        <v>12.6141358615649</v>
      </c>
      <c r="G98">
        <v>4.2140536843904899</v>
      </c>
      <c r="H98">
        <v>2.5719939840101298</v>
      </c>
      <c r="I98">
        <v>1.1755367766143301</v>
      </c>
      <c r="J98">
        <v>103.148678228658</v>
      </c>
      <c r="K98">
        <v>7.0548519127267797</v>
      </c>
      <c r="L98" s="10">
        <v>122.00824237023799</v>
      </c>
    </row>
    <row r="99" spans="1:12" x14ac:dyDescent="0.2">
      <c r="A99" s="6">
        <f t="shared" si="8"/>
        <v>1990</v>
      </c>
      <c r="B99" t="s">
        <v>6</v>
      </c>
      <c r="C99">
        <v>2.7344220073490999</v>
      </c>
      <c r="D99">
        <v>7.5395248786336397</v>
      </c>
      <c r="E99">
        <v>4.8255825252152196</v>
      </c>
      <c r="F99">
        <v>14.359243589347599</v>
      </c>
      <c r="G99">
        <v>3.69909386219866</v>
      </c>
      <c r="H99">
        <v>1.2654159740362501</v>
      </c>
      <c r="I99">
        <v>1.0944630630341601</v>
      </c>
      <c r="J99">
        <v>117.15777066846201</v>
      </c>
      <c r="K99">
        <v>10.9138225530954</v>
      </c>
      <c r="L99" s="10">
        <v>124.307195366451</v>
      </c>
    </row>
    <row r="100" spans="1:12" x14ac:dyDescent="0.2">
      <c r="A100" s="6">
        <f t="shared" si="8"/>
        <v>1991</v>
      </c>
      <c r="B100" t="s">
        <v>6</v>
      </c>
      <c r="C100">
        <v>1.7249747443910299</v>
      </c>
      <c r="D100">
        <v>7.18383035745771</v>
      </c>
      <c r="E100">
        <v>4.6825504790407502</v>
      </c>
      <c r="F100">
        <v>10.9974470625778</v>
      </c>
      <c r="G100">
        <v>6.2800478714310097</v>
      </c>
      <c r="H100">
        <v>-1.4264228607614899</v>
      </c>
      <c r="I100">
        <v>1.91879800522746</v>
      </c>
      <c r="J100">
        <v>97.019700286243506</v>
      </c>
      <c r="K100">
        <v>11.9702536336974</v>
      </c>
      <c r="L100" s="10">
        <v>110.94118957451499</v>
      </c>
    </row>
    <row r="101" spans="1:12" x14ac:dyDescent="0.2">
      <c r="A101" s="6">
        <f t="shared" si="8"/>
        <v>1992</v>
      </c>
      <c r="B101" t="s">
        <v>6</v>
      </c>
      <c r="C101">
        <v>-5.7449572042317598E-2</v>
      </c>
      <c r="D101">
        <v>3.9135801017949299</v>
      </c>
      <c r="E101">
        <v>8.8709019181063802</v>
      </c>
      <c r="F101">
        <v>19.435522888936902</v>
      </c>
      <c r="G101">
        <v>4.76799452897931</v>
      </c>
      <c r="H101">
        <v>1.13797197815245</v>
      </c>
      <c r="I101">
        <v>3.0120103266359801</v>
      </c>
      <c r="J101">
        <v>101.22916315878101</v>
      </c>
      <c r="K101">
        <v>14.774726868413399</v>
      </c>
      <c r="L101" s="10">
        <v>101.31098240142499</v>
      </c>
    </row>
    <row r="102" spans="1:12" x14ac:dyDescent="0.2">
      <c r="A102" s="6">
        <f t="shared" si="8"/>
        <v>1993</v>
      </c>
      <c r="B102" t="s">
        <v>6</v>
      </c>
      <c r="C102">
        <v>-1.46438126533376</v>
      </c>
      <c r="D102">
        <v>3.5093390382377501</v>
      </c>
      <c r="E102">
        <v>13.2792428629729</v>
      </c>
      <c r="F102">
        <v>8.1974511802188399</v>
      </c>
      <c r="G102">
        <v>4.5771926825098204</v>
      </c>
      <c r="H102">
        <v>-0.54650518483337096</v>
      </c>
      <c r="I102">
        <v>0.50052114234402001</v>
      </c>
      <c r="J102">
        <v>93.248021552449899</v>
      </c>
      <c r="K102">
        <v>-0.93315930258789503</v>
      </c>
      <c r="L102" s="10">
        <v>122.285586990421</v>
      </c>
    </row>
    <row r="103" spans="1:12" x14ac:dyDescent="0.2">
      <c r="A103" s="6">
        <f t="shared" si="8"/>
        <v>1994</v>
      </c>
      <c r="B103" t="s">
        <v>6</v>
      </c>
      <c r="C103">
        <v>-1.29256541480256</v>
      </c>
      <c r="D103">
        <v>3.4969966969543802</v>
      </c>
      <c r="E103">
        <v>11.8598052743067</v>
      </c>
      <c r="F103">
        <v>7.7288121635115203</v>
      </c>
      <c r="G103">
        <v>9.7165327406394209</v>
      </c>
      <c r="H103">
        <v>3.62035937623684</v>
      </c>
      <c r="I103">
        <v>-1.60303385019963</v>
      </c>
      <c r="J103">
        <v>124.633776730089</v>
      </c>
      <c r="K103">
        <v>-4.5890940732862902</v>
      </c>
      <c r="L103" s="10">
        <v>151.64067721096001</v>
      </c>
    </row>
    <row r="104" spans="1:12" x14ac:dyDescent="0.2">
      <c r="A104" s="6">
        <f t="shared" si="8"/>
        <v>1995</v>
      </c>
      <c r="B104" t="s">
        <v>6</v>
      </c>
      <c r="C104">
        <v>-0.87938365212757497</v>
      </c>
      <c r="D104">
        <v>2.8003009180350902</v>
      </c>
      <c r="E104">
        <v>1.2793205977806801</v>
      </c>
      <c r="F104">
        <v>9.0320455411094898</v>
      </c>
      <c r="G104">
        <v>9.2077278167207997</v>
      </c>
      <c r="H104">
        <v>3.9118182537797801</v>
      </c>
      <c r="I104">
        <v>-1.2004874685310201</v>
      </c>
      <c r="J104">
        <v>167.83970365381299</v>
      </c>
      <c r="K104">
        <v>-7.8982564697541102</v>
      </c>
      <c r="L104" s="10">
        <v>138.36823345956699</v>
      </c>
    </row>
    <row r="105" spans="1:12" x14ac:dyDescent="0.2">
      <c r="A105" s="6">
        <f t="shared" si="8"/>
        <v>1996</v>
      </c>
      <c r="B105" t="s">
        <v>6</v>
      </c>
      <c r="C105">
        <v>-0.63001365468088999</v>
      </c>
      <c r="D105">
        <v>1.6643353355353601</v>
      </c>
      <c r="E105">
        <v>-8.9109353440736996</v>
      </c>
      <c r="F105">
        <v>5.2695510741895903</v>
      </c>
      <c r="G105">
        <v>7.2750897589331496</v>
      </c>
      <c r="H105">
        <v>2.3980052244122501</v>
      </c>
      <c r="I105">
        <v>-2.0486827125058</v>
      </c>
      <c r="J105">
        <v>196.868159622832</v>
      </c>
      <c r="K105">
        <v>5.7425311805085499</v>
      </c>
      <c r="L105" s="10">
        <v>130.39541100467801</v>
      </c>
    </row>
    <row r="106" spans="1:12" x14ac:dyDescent="0.2">
      <c r="A106" s="6">
        <f t="shared" si="8"/>
        <v>1997</v>
      </c>
      <c r="B106" t="s">
        <v>6</v>
      </c>
      <c r="C106">
        <v>-0.71246350425737304</v>
      </c>
      <c r="D106">
        <v>0.67929895501510196</v>
      </c>
      <c r="E106">
        <v>-5.7789999416988902</v>
      </c>
      <c r="F106">
        <v>3.84690610749101</v>
      </c>
      <c r="G106">
        <v>3.70524876047187</v>
      </c>
      <c r="H106">
        <v>2.8878334520699802</v>
      </c>
      <c r="I106">
        <v>-2.8930295207093901</v>
      </c>
      <c r="J106">
        <v>267.385081663579</v>
      </c>
      <c r="K106">
        <v>-1.58480776048212</v>
      </c>
      <c r="L106" s="10">
        <v>126.49587881488</v>
      </c>
    </row>
    <row r="107" spans="1:12" x14ac:dyDescent="0.2">
      <c r="A107" s="6">
        <f t="shared" si="8"/>
        <v>1998</v>
      </c>
      <c r="B107" t="s">
        <v>6</v>
      </c>
      <c r="C107">
        <v>-4.01203388137059E-2</v>
      </c>
      <c r="D107">
        <v>0.75876012365850398</v>
      </c>
      <c r="E107">
        <v>5.1110636065061499E-2</v>
      </c>
      <c r="F107">
        <v>3.9812441452291898</v>
      </c>
      <c r="G107">
        <v>3.3975038468114098</v>
      </c>
      <c r="H107">
        <v>4.5712024063959502</v>
      </c>
      <c r="I107">
        <v>-1.7233616086461501</v>
      </c>
      <c r="J107">
        <v>323.48880282875899</v>
      </c>
      <c r="K107">
        <v>0.69628412130586503</v>
      </c>
      <c r="L107" s="10">
        <v>116.06036979282599</v>
      </c>
    </row>
    <row r="108" spans="1:12" x14ac:dyDescent="0.2">
      <c r="A108" s="6">
        <f t="shared" si="8"/>
        <v>1999</v>
      </c>
      <c r="B108" t="s">
        <v>6</v>
      </c>
      <c r="C108">
        <v>0.69928618212902005</v>
      </c>
      <c r="D108">
        <v>0.99032595535599199</v>
      </c>
      <c r="E108">
        <v>0.60535981499114599</v>
      </c>
      <c r="F108">
        <v>3.1057307268665699</v>
      </c>
      <c r="G108">
        <v>3.3687809882030999</v>
      </c>
      <c r="H108">
        <v>4.4703554183487704</v>
      </c>
      <c r="I108">
        <v>-1.8113625066145</v>
      </c>
      <c r="J108">
        <v>366.99781107930602</v>
      </c>
      <c r="K108">
        <v>-1.21225305359503</v>
      </c>
      <c r="L108" s="10">
        <v>115.686121630652</v>
      </c>
    </row>
    <row r="109" spans="1:12" ht="16" thickBot="1" x14ac:dyDescent="0.25">
      <c r="A109" s="7">
        <f t="shared" si="8"/>
        <v>2000</v>
      </c>
      <c r="B109" s="8" t="s">
        <v>6</v>
      </c>
      <c r="C109" s="8">
        <v>1.18372761686963</v>
      </c>
      <c r="D109" s="8">
        <v>0.63757008686657402</v>
      </c>
      <c r="E109" s="8">
        <v>-4.41086732611695</v>
      </c>
      <c r="F109" s="8">
        <v>3.9050677866650201</v>
      </c>
      <c r="G109" s="8">
        <v>3.5021371174559701</v>
      </c>
      <c r="H109" s="8">
        <v>5.4987730546980202</v>
      </c>
      <c r="I109" s="8">
        <v>-1.12993281272549</v>
      </c>
      <c r="J109" s="8">
        <v>553.49385418420604</v>
      </c>
      <c r="K109" s="8">
        <v>2.0787005704335101E-2</v>
      </c>
      <c r="L109" s="11">
        <v>121.370015593673</v>
      </c>
    </row>
    <row r="110" spans="1:12" x14ac:dyDescent="0.2">
      <c r="A110" s="4">
        <v>1987</v>
      </c>
      <c r="B110" s="5" t="s">
        <v>0</v>
      </c>
      <c r="C110" s="5">
        <v>1.03643897538924</v>
      </c>
      <c r="D110" s="5">
        <v>1.65172326620038</v>
      </c>
      <c r="E110" s="5">
        <v>14.820739106453299</v>
      </c>
      <c r="F110" s="5">
        <v>4.0639545092318698</v>
      </c>
      <c r="G110" s="5">
        <v>7.4358899168658397</v>
      </c>
      <c r="H110" s="5">
        <v>3.588839560582</v>
      </c>
      <c r="I110" s="5">
        <v>-1.6147087664247799</v>
      </c>
      <c r="J110" s="5">
        <v>76.634746922024604</v>
      </c>
      <c r="K110" s="5">
        <v>-17.34497921605</v>
      </c>
      <c r="L110" s="9">
        <v>95.682239838084001</v>
      </c>
    </row>
    <row r="111" spans="1:12" x14ac:dyDescent="0.2">
      <c r="A111" s="6">
        <f>A110+1</f>
        <v>1988</v>
      </c>
      <c r="B111" t="s">
        <v>0</v>
      </c>
      <c r="C111">
        <v>0.93500753390255997</v>
      </c>
      <c r="D111">
        <v>2.0231454172635499</v>
      </c>
      <c r="E111">
        <v>10.0498621070049</v>
      </c>
      <c r="F111">
        <v>6.7743560652106298</v>
      </c>
      <c r="G111">
        <v>8.9072328196706891</v>
      </c>
      <c r="H111">
        <v>4.9253702323471202</v>
      </c>
      <c r="I111">
        <v>-0.57991763090802395</v>
      </c>
      <c r="J111">
        <v>90.177838577291297</v>
      </c>
      <c r="K111">
        <v>-5.29836133154694</v>
      </c>
      <c r="L111" s="10">
        <v>94.227525721032094</v>
      </c>
    </row>
    <row r="112" spans="1:12" x14ac:dyDescent="0.2">
      <c r="A112" s="6">
        <f t="shared" ref="A112:A136" si="9">A111+1</f>
        <v>1989</v>
      </c>
      <c r="B112" t="s">
        <v>0</v>
      </c>
      <c r="C112">
        <v>0.43224510296333302</v>
      </c>
      <c r="D112">
        <v>2.7695289458161199</v>
      </c>
      <c r="E112">
        <v>4.6303364589078697</v>
      </c>
      <c r="F112">
        <v>6.9749314531923199</v>
      </c>
      <c r="G112">
        <v>8.9072328196706891</v>
      </c>
      <c r="H112">
        <v>3.1564211413201999</v>
      </c>
      <c r="I112">
        <v>0.33990978623259199</v>
      </c>
      <c r="J112">
        <v>74.664842681258506</v>
      </c>
      <c r="K112">
        <v>14.6454704730495</v>
      </c>
      <c r="L112" s="10">
        <v>85.328470231067598</v>
      </c>
    </row>
    <row r="113" spans="1:12" x14ac:dyDescent="0.2">
      <c r="A113" s="6">
        <f t="shared" si="9"/>
        <v>1990</v>
      </c>
      <c r="B113" t="s">
        <v>0</v>
      </c>
      <c r="C113">
        <v>-0.33174284279256799</v>
      </c>
      <c r="D113">
        <v>2.3902418471391198</v>
      </c>
      <c r="E113">
        <v>1.5909542195256401</v>
      </c>
      <c r="F113">
        <v>4.0676013344678896</v>
      </c>
      <c r="G113">
        <v>8.5139949855578401</v>
      </c>
      <c r="H113">
        <v>0.34959007096795602</v>
      </c>
      <c r="I113">
        <v>1.0009805844283099</v>
      </c>
      <c r="J113">
        <v>66.429548563611405</v>
      </c>
      <c r="K113">
        <v>18.5447799649593</v>
      </c>
      <c r="L113" s="10">
        <v>77.9031033901163</v>
      </c>
    </row>
    <row r="114" spans="1:12" x14ac:dyDescent="0.2">
      <c r="A114" s="6">
        <f t="shared" si="9"/>
        <v>1991</v>
      </c>
      <c r="B114" t="s">
        <v>0</v>
      </c>
      <c r="C114">
        <v>-1.1133098945253601</v>
      </c>
      <c r="D114">
        <v>1.4069267717198899</v>
      </c>
      <c r="E114">
        <v>1.7842250413678999</v>
      </c>
      <c r="F114">
        <v>1.9575752664208399</v>
      </c>
      <c r="G114">
        <v>8.1207571514449892</v>
      </c>
      <c r="H114">
        <v>-1.4181924236041299</v>
      </c>
      <c r="I114">
        <v>-1.3524220435379499</v>
      </c>
      <c r="J114">
        <v>53.324213406292699</v>
      </c>
      <c r="K114">
        <v>11.3966470850939</v>
      </c>
      <c r="L114" s="10">
        <v>68.991398212177501</v>
      </c>
    </row>
    <row r="115" spans="1:12" x14ac:dyDescent="0.2">
      <c r="A115" s="6">
        <f t="shared" si="9"/>
        <v>1992</v>
      </c>
      <c r="B115" t="s">
        <v>0</v>
      </c>
      <c r="C115">
        <v>-1.2507785032646901</v>
      </c>
      <c r="D115">
        <v>0.68561276368641</v>
      </c>
      <c r="E115">
        <v>3.7231108659680099</v>
      </c>
      <c r="F115">
        <v>1.1223172197684901</v>
      </c>
      <c r="G115">
        <v>8.1207571514449892</v>
      </c>
      <c r="H115">
        <v>1.46757834019248</v>
      </c>
      <c r="I115">
        <v>-1.92547558344773</v>
      </c>
      <c r="J115">
        <v>74.199726402188702</v>
      </c>
      <c r="K115">
        <v>-5.1697069634820902</v>
      </c>
      <c r="L115" s="10">
        <v>66.056670602125195</v>
      </c>
    </row>
    <row r="116" spans="1:12" x14ac:dyDescent="0.2">
      <c r="A116" s="6">
        <f t="shared" si="9"/>
        <v>1993</v>
      </c>
      <c r="B116" t="s">
        <v>0</v>
      </c>
      <c r="C116">
        <v>-1.21263184329482</v>
      </c>
      <c r="D116">
        <v>0.228266059942136</v>
      </c>
      <c r="E116">
        <v>5.0080529509100904</v>
      </c>
      <c r="F116">
        <v>0.20736928832880899</v>
      </c>
      <c r="G116">
        <v>8.8465316774921998</v>
      </c>
      <c r="H116">
        <v>2.7030039858712098</v>
      </c>
      <c r="I116">
        <v>-2.0680917827024898</v>
      </c>
      <c r="J116">
        <v>73.269493844049194</v>
      </c>
      <c r="K116">
        <v>1.5215225531622401</v>
      </c>
      <c r="L116" s="10">
        <v>58.643953449148199</v>
      </c>
    </row>
    <row r="117" spans="1:12" x14ac:dyDescent="0.2">
      <c r="A117" s="6">
        <f t="shared" si="9"/>
        <v>1994</v>
      </c>
      <c r="B117" t="s">
        <v>0</v>
      </c>
      <c r="C117">
        <v>-0.84505273731793196</v>
      </c>
      <c r="D117">
        <v>0.22512008089660099</v>
      </c>
      <c r="E117">
        <v>4.1273028130170903</v>
      </c>
      <c r="F117">
        <v>0.169415292353818</v>
      </c>
      <c r="G117">
        <v>9.5709866134920603</v>
      </c>
      <c r="H117">
        <v>1.5500178230013899</v>
      </c>
      <c r="I117">
        <v>-2.3536771916061898</v>
      </c>
      <c r="J117">
        <v>73.269493844049194</v>
      </c>
      <c r="K117">
        <v>12.9813803291078</v>
      </c>
      <c r="L117" s="10">
        <v>66.1515432619329</v>
      </c>
    </row>
    <row r="118" spans="1:12" x14ac:dyDescent="0.2">
      <c r="A118" s="6">
        <f t="shared" si="9"/>
        <v>1995</v>
      </c>
      <c r="B118" t="s">
        <v>0</v>
      </c>
      <c r="C118">
        <v>-1.0514314414866901</v>
      </c>
      <c r="D118">
        <v>0.33218168028987799</v>
      </c>
      <c r="E118">
        <v>5.4087148372862597</v>
      </c>
      <c r="F118">
        <v>0.169415292353818</v>
      </c>
      <c r="G118">
        <v>10.6715247129891</v>
      </c>
      <c r="H118">
        <v>-0.73378917009623701</v>
      </c>
      <c r="I118">
        <v>-1.6640125514806801</v>
      </c>
      <c r="J118">
        <v>59.699042407660698</v>
      </c>
      <c r="K118">
        <v>19.998454086365001</v>
      </c>
      <c r="L118" s="10">
        <v>66.202142013830397</v>
      </c>
    </row>
    <row r="119" spans="1:12" x14ac:dyDescent="0.2">
      <c r="A119" s="6">
        <f t="shared" si="9"/>
        <v>1996</v>
      </c>
      <c r="B119" t="s">
        <v>0</v>
      </c>
      <c r="C119">
        <v>-1.3799849321948701</v>
      </c>
      <c r="D119">
        <v>-0.16399820229768999</v>
      </c>
      <c r="E119">
        <v>6.25239933811363</v>
      </c>
      <c r="F119">
        <v>1.19264691978315E-2</v>
      </c>
      <c r="G119">
        <v>12.1507851560782</v>
      </c>
      <c r="H119">
        <v>-0.12599241712304299</v>
      </c>
      <c r="I119">
        <v>-0.91657187683859698</v>
      </c>
      <c r="J119">
        <v>53.351573187414402</v>
      </c>
      <c r="K119">
        <v>7.2015527843622298</v>
      </c>
      <c r="L119" s="10">
        <v>49.871394838927301</v>
      </c>
    </row>
    <row r="120" spans="1:12" x14ac:dyDescent="0.2">
      <c r="A120" s="6">
        <f t="shared" si="9"/>
        <v>1997</v>
      </c>
      <c r="B120" t="s">
        <v>0</v>
      </c>
      <c r="C120">
        <v>-1.0990708186840701</v>
      </c>
      <c r="D120">
        <v>-0.39306480155051898</v>
      </c>
      <c r="E120">
        <v>5.1624931053502303</v>
      </c>
      <c r="F120">
        <v>1.35472804138458E-2</v>
      </c>
      <c r="G120">
        <v>14.755655909564</v>
      </c>
      <c r="H120">
        <v>1.5243527009948401</v>
      </c>
      <c r="I120">
        <v>-1.5764659737203299</v>
      </c>
      <c r="J120">
        <v>73.406292749657993</v>
      </c>
      <c r="K120">
        <v>-7.8437940155965498</v>
      </c>
      <c r="L120" s="10">
        <v>51.414656771799599</v>
      </c>
    </row>
    <row r="121" spans="1:12" x14ac:dyDescent="0.2">
      <c r="A121" s="6">
        <f t="shared" si="9"/>
        <v>1998</v>
      </c>
      <c r="B121" t="s">
        <v>0</v>
      </c>
      <c r="C121">
        <v>-1.1314163736815599</v>
      </c>
      <c r="D121">
        <v>-0.85237774219825302</v>
      </c>
      <c r="E121">
        <v>3.2077220077220101</v>
      </c>
      <c r="F121">
        <v>-0.184191687939815</v>
      </c>
      <c r="G121">
        <v>16.240194712842499</v>
      </c>
      <c r="H121">
        <v>1.71956317443857</v>
      </c>
      <c r="I121">
        <v>-1.37442635810943</v>
      </c>
      <c r="J121">
        <v>49.5759233926128</v>
      </c>
      <c r="K121">
        <v>3.3335051015150099</v>
      </c>
      <c r="L121" s="10">
        <v>55.924270534660003</v>
      </c>
    </row>
    <row r="122" spans="1:12" x14ac:dyDescent="0.2">
      <c r="A122" s="6">
        <f t="shared" si="9"/>
        <v>1999</v>
      </c>
      <c r="B122" t="s">
        <v>0</v>
      </c>
      <c r="C122">
        <v>-1.4425665494726201</v>
      </c>
      <c r="D122">
        <v>-0.85237774219825302</v>
      </c>
      <c r="E122">
        <v>3.8422504136789599</v>
      </c>
      <c r="F122">
        <v>-0.184191687939815</v>
      </c>
      <c r="G122">
        <v>21.079131416506598</v>
      </c>
      <c r="H122">
        <v>0.67001523056482803</v>
      </c>
      <c r="I122">
        <v>-1.45914885271622</v>
      </c>
      <c r="J122">
        <v>37.674418604651102</v>
      </c>
      <c r="K122">
        <v>12.566560170394</v>
      </c>
      <c r="L122" s="10">
        <v>60.446533985495002</v>
      </c>
    </row>
    <row r="123" spans="1:12" x14ac:dyDescent="0.2">
      <c r="A123" s="6">
        <f t="shared" si="9"/>
        <v>2000</v>
      </c>
      <c r="B123" t="s">
        <v>0</v>
      </c>
      <c r="C123">
        <v>-1.0920391762933199</v>
      </c>
      <c r="D123">
        <v>-0.40958119153956501</v>
      </c>
      <c r="E123">
        <v>2.5273028130171</v>
      </c>
      <c r="F123">
        <v>-0.18230074152113501</v>
      </c>
      <c r="G123">
        <v>21.063296335938301</v>
      </c>
      <c r="H123">
        <v>2.00421270942027</v>
      </c>
      <c r="I123">
        <v>-0.76924887232790695</v>
      </c>
      <c r="J123">
        <v>42.708618331053302</v>
      </c>
      <c r="K123">
        <v>-1.50125390772612</v>
      </c>
      <c r="L123" s="10">
        <v>67.966773486253999</v>
      </c>
    </row>
    <row r="124" spans="1:12" x14ac:dyDescent="0.2">
      <c r="A124" s="6">
        <f t="shared" si="9"/>
        <v>2001</v>
      </c>
      <c r="B124" t="s">
        <v>0</v>
      </c>
      <c r="C124">
        <v>-0.51491712707182402</v>
      </c>
      <c r="D124">
        <v>-0.60138760147187398</v>
      </c>
      <c r="E124">
        <v>-1.3822393822393899</v>
      </c>
      <c r="F124">
        <v>-0.140429785107446</v>
      </c>
      <c r="G124">
        <v>17.3235781417239</v>
      </c>
      <c r="H124">
        <v>1.37541722025989</v>
      </c>
      <c r="I124">
        <v>-1.42914296920965</v>
      </c>
      <c r="J124">
        <v>49.521203830369302</v>
      </c>
      <c r="K124">
        <v>-3.3048198151774302</v>
      </c>
      <c r="L124" s="10">
        <v>73.981700118063699</v>
      </c>
    </row>
    <row r="125" spans="1:12" x14ac:dyDescent="0.2">
      <c r="A125" s="6">
        <f t="shared" si="9"/>
        <v>2002</v>
      </c>
      <c r="B125" t="s">
        <v>0</v>
      </c>
      <c r="C125">
        <v>0.18385233550979199</v>
      </c>
      <c r="D125">
        <v>-0.45588607061599601</v>
      </c>
      <c r="E125">
        <v>-2.6954219525648102</v>
      </c>
      <c r="F125">
        <v>9.95853424639037E-2</v>
      </c>
      <c r="G125">
        <v>17.679867454510799</v>
      </c>
      <c r="H125">
        <v>1.36258465925661</v>
      </c>
      <c r="I125">
        <v>-1.4567954500882501</v>
      </c>
      <c r="J125">
        <v>69.740082079343296</v>
      </c>
      <c r="K125">
        <v>0.87704833556631401</v>
      </c>
      <c r="L125" s="10">
        <v>117.31953111823201</v>
      </c>
    </row>
    <row r="126" spans="1:12" x14ac:dyDescent="0.2">
      <c r="A126" s="6">
        <f t="shared" si="9"/>
        <v>2003</v>
      </c>
      <c r="B126" t="s">
        <v>0</v>
      </c>
      <c r="C126">
        <v>0.51750376695127898</v>
      </c>
      <c r="D126">
        <v>-0.19703098227578</v>
      </c>
      <c r="E126">
        <v>-5.5168229453943596</v>
      </c>
      <c r="F126">
        <v>0.34000567283925398</v>
      </c>
      <c r="G126">
        <v>19.151210357315701</v>
      </c>
      <c r="H126">
        <v>0.52341294273956096</v>
      </c>
      <c r="I126">
        <v>-1.42667189645028</v>
      </c>
      <c r="J126">
        <v>69.384404924760503</v>
      </c>
      <c r="K126">
        <v>-4.0334604417877804</v>
      </c>
      <c r="L126" s="10">
        <v>141.25906560971401</v>
      </c>
    </row>
    <row r="127" spans="1:12" x14ac:dyDescent="0.2">
      <c r="A127" s="6">
        <f t="shared" si="9"/>
        <v>2004</v>
      </c>
      <c r="B127" t="s">
        <v>0</v>
      </c>
      <c r="C127">
        <v>-2.0592667001508799E-2</v>
      </c>
      <c r="D127">
        <v>0.73801297716355996</v>
      </c>
      <c r="E127">
        <v>-4.2389409817981196</v>
      </c>
      <c r="F127">
        <v>0.30151140645893099</v>
      </c>
      <c r="G127">
        <v>22.493731947274998</v>
      </c>
      <c r="H127">
        <v>-1.13626494701707</v>
      </c>
      <c r="I127">
        <v>-1.1963914493037799</v>
      </c>
      <c r="J127">
        <v>60.4924760601914</v>
      </c>
      <c r="K127">
        <v>-8.3463877151396808</v>
      </c>
      <c r="L127" s="10">
        <v>157.70998482037399</v>
      </c>
    </row>
    <row r="128" spans="1:12" x14ac:dyDescent="0.2">
      <c r="A128" s="6">
        <f t="shared" si="9"/>
        <v>2005</v>
      </c>
      <c r="B128" t="s">
        <v>0</v>
      </c>
      <c r="C128">
        <v>-1.53362631843294</v>
      </c>
      <c r="D128">
        <v>-0.28177579281480902</v>
      </c>
      <c r="E128">
        <v>5.2675124103695401</v>
      </c>
      <c r="F128">
        <v>2.3137080108593701E-2</v>
      </c>
      <c r="G128">
        <v>26.2215738310631</v>
      </c>
      <c r="H128">
        <v>-9.0092355552674999</v>
      </c>
      <c r="I128">
        <v>-1.25240243184938</v>
      </c>
      <c r="J128">
        <v>45.581395348837098</v>
      </c>
      <c r="K128">
        <v>-2.2419183070527899</v>
      </c>
      <c r="L128" s="10">
        <v>156.27424523528401</v>
      </c>
    </row>
    <row r="129" spans="1:12" x14ac:dyDescent="0.2">
      <c r="A129" s="6">
        <f t="shared" si="9"/>
        <v>2006</v>
      </c>
      <c r="B129" t="s">
        <v>0</v>
      </c>
      <c r="C129">
        <v>-1.1827473631340999</v>
      </c>
      <c r="D129">
        <v>-1.41767085194236</v>
      </c>
      <c r="E129">
        <v>9.1399889685604006</v>
      </c>
      <c r="F129">
        <v>2.5298161729942498E-2</v>
      </c>
      <c r="G129">
        <v>29.946776534756498</v>
      </c>
      <c r="H129">
        <v>3.9100424511487701</v>
      </c>
      <c r="I129">
        <v>-1.22263188860561</v>
      </c>
      <c r="J129">
        <v>50.123119015047799</v>
      </c>
      <c r="K129">
        <v>10.73894671751</v>
      </c>
      <c r="L129" s="10">
        <v>189.15710912464101</v>
      </c>
    </row>
    <row r="130" spans="1:12" x14ac:dyDescent="0.2">
      <c r="A130" s="6">
        <f t="shared" si="9"/>
        <v>2007</v>
      </c>
      <c r="B130" t="s">
        <v>0</v>
      </c>
      <c r="C130">
        <v>-0.97144650929181398</v>
      </c>
      <c r="D130">
        <v>-0.81993483329119898</v>
      </c>
      <c r="E130">
        <v>6.9654715940430201</v>
      </c>
      <c r="F130">
        <v>2.71891081486259E-2</v>
      </c>
      <c r="G130">
        <v>29.946776534756498</v>
      </c>
      <c r="H130">
        <v>-0.33909070287436499</v>
      </c>
      <c r="I130">
        <v>-0.96316924887232902</v>
      </c>
      <c r="J130">
        <v>50.396716826265298</v>
      </c>
      <c r="K130">
        <v>10.553780617678299</v>
      </c>
      <c r="L130" s="10">
        <v>214.576657109124</v>
      </c>
    </row>
    <row r="131" spans="1:12" x14ac:dyDescent="0.2">
      <c r="A131" s="6">
        <f t="shared" si="9"/>
        <v>2008</v>
      </c>
      <c r="B131" t="s">
        <v>0</v>
      </c>
      <c r="C131">
        <v>-0.76049723756906096</v>
      </c>
      <c r="D131">
        <v>-1.0117412432235</v>
      </c>
      <c r="E131">
        <v>4.7909542195256396</v>
      </c>
      <c r="F131">
        <v>2.71891081486259E-2</v>
      </c>
      <c r="G131">
        <v>29.946776534756498</v>
      </c>
      <c r="H131">
        <v>1.10321138079653</v>
      </c>
      <c r="I131">
        <v>-0.96316924887232902</v>
      </c>
      <c r="J131">
        <v>50.396716826265298</v>
      </c>
      <c r="K131">
        <v>13.855508605585801</v>
      </c>
      <c r="L131" s="10">
        <v>226.56223646483301</v>
      </c>
    </row>
    <row r="132" spans="1:12" x14ac:dyDescent="0.2">
      <c r="A132" s="6">
        <f t="shared" si="9"/>
        <v>2009</v>
      </c>
      <c r="B132" t="s">
        <v>0</v>
      </c>
      <c r="C132">
        <v>-6.1376192867906597E-2</v>
      </c>
      <c r="D132">
        <v>0.90189882306676195</v>
      </c>
      <c r="E132">
        <v>5.4290126861555299</v>
      </c>
      <c r="F132">
        <v>-1.04947526236891E-2</v>
      </c>
      <c r="G132">
        <v>37.782502235971997</v>
      </c>
      <c r="H132">
        <v>1.5029650993227199</v>
      </c>
      <c r="I132">
        <v>-0.81843498725240205</v>
      </c>
      <c r="J132">
        <v>57.920656634746798</v>
      </c>
      <c r="K132">
        <v>-3.1016180562712599</v>
      </c>
      <c r="L132" s="10">
        <v>229.591836734693</v>
      </c>
    </row>
    <row r="133" spans="1:12" x14ac:dyDescent="0.2">
      <c r="A133" s="6">
        <f t="shared" si="9"/>
        <v>2010</v>
      </c>
      <c r="B133" t="s">
        <v>0</v>
      </c>
      <c r="C133">
        <v>0.202310396785533</v>
      </c>
      <c r="D133">
        <v>1.0081739276986501</v>
      </c>
      <c r="E133">
        <v>3.4636514065085402</v>
      </c>
      <c r="F133">
        <v>-0.12908410659535</v>
      </c>
      <c r="G133">
        <v>58.679530225943097</v>
      </c>
      <c r="H133">
        <v>0.76489840889206495</v>
      </c>
      <c r="I133">
        <v>-0.64545989409688398</v>
      </c>
      <c r="J133">
        <v>63.2558139534883</v>
      </c>
      <c r="K133">
        <v>-14.355869318767301</v>
      </c>
      <c r="L133" s="10">
        <v>235.63206274245201</v>
      </c>
    </row>
    <row r="134" spans="1:12" x14ac:dyDescent="0.2">
      <c r="A134" s="6">
        <f t="shared" si="9"/>
        <v>2011</v>
      </c>
      <c r="B134" t="s">
        <v>0</v>
      </c>
      <c r="C134">
        <v>0.16943746860873801</v>
      </c>
      <c r="D134">
        <v>0.51553327153731399</v>
      </c>
      <c r="E134">
        <v>3.43717595146166</v>
      </c>
      <c r="F134">
        <v>-0.366938152545351</v>
      </c>
      <c r="G134">
        <v>71.3673885312962</v>
      </c>
      <c r="H134">
        <v>0.95894228588094399</v>
      </c>
      <c r="I134">
        <v>-0.41435575603059499</v>
      </c>
      <c r="J134">
        <v>63.2558139534883</v>
      </c>
      <c r="K134">
        <v>-8.5339585695145601</v>
      </c>
      <c r="L134" s="10">
        <v>241.67228875020999</v>
      </c>
    </row>
    <row r="135" spans="1:12" x14ac:dyDescent="0.2">
      <c r="A135" s="6">
        <f t="shared" si="9"/>
        <v>2012</v>
      </c>
      <c r="B135" t="s">
        <v>0</v>
      </c>
      <c r="C135">
        <v>0.32800100452033998</v>
      </c>
      <c r="D135">
        <v>-1.51540687059359E-2</v>
      </c>
      <c r="E135">
        <v>3.43717595146166</v>
      </c>
      <c r="F135">
        <v>-0.36558747653200602</v>
      </c>
      <c r="G135">
        <v>78.456226265706704</v>
      </c>
      <c r="H135">
        <v>0.95894228588094399</v>
      </c>
      <c r="I135">
        <v>-0.24126299274367799</v>
      </c>
      <c r="J135">
        <v>79.2886456908344</v>
      </c>
      <c r="K135">
        <v>-2.4944175340959802</v>
      </c>
      <c r="L135" s="10">
        <v>241.67228875020999</v>
      </c>
    </row>
    <row r="136" spans="1:12" ht="16" thickBot="1" x14ac:dyDescent="0.25">
      <c r="A136" s="7">
        <f t="shared" si="9"/>
        <v>2013</v>
      </c>
      <c r="B136" s="8" t="s">
        <v>0</v>
      </c>
      <c r="C136" s="8">
        <v>0.52154696132596501</v>
      </c>
      <c r="D136" s="8">
        <v>-0.13440633690064899</v>
      </c>
      <c r="E136" s="8">
        <v>3.43717595146166</v>
      </c>
      <c r="F136" s="8">
        <v>-0.125302213757986</v>
      </c>
      <c r="G136" s="8">
        <v>78.456226265706704</v>
      </c>
      <c r="H136" s="8">
        <v>1.04371496159953</v>
      </c>
      <c r="I136" s="8">
        <v>-0.24008629142969401</v>
      </c>
      <c r="J136" s="8">
        <v>79.2886456908344</v>
      </c>
      <c r="K136" s="8">
        <v>-1.09364801264214</v>
      </c>
      <c r="L136" s="11">
        <v>247.706189913982</v>
      </c>
    </row>
    <row r="137" spans="1:12" x14ac:dyDescent="0.2">
      <c r="A137" s="4">
        <v>2005</v>
      </c>
      <c r="B137" s="5" t="s">
        <v>7</v>
      </c>
      <c r="C137" s="5">
        <v>1.44707765159819</v>
      </c>
      <c r="D137" s="5">
        <v>1.49071692653914</v>
      </c>
      <c r="E137" s="5">
        <v>6.6017236483890898</v>
      </c>
      <c r="F137" s="5">
        <v>2.4563435263500302</v>
      </c>
      <c r="G137" s="5">
        <v>8.7273569370111002</v>
      </c>
      <c r="H137" s="5">
        <v>3.2115562680523499</v>
      </c>
      <c r="I137" s="5">
        <v>-1.0583096039347599</v>
      </c>
      <c r="J137" s="5">
        <v>69.173634241950495</v>
      </c>
      <c r="K137" s="5">
        <v>3.4787111622554598</v>
      </c>
      <c r="L137" s="9">
        <v>78.232630581736998</v>
      </c>
    </row>
    <row r="138" spans="1:12" x14ac:dyDescent="0.2">
      <c r="A138" s="6">
        <f>A137+1</f>
        <v>2006</v>
      </c>
      <c r="B138" t="s">
        <v>7</v>
      </c>
      <c r="C138">
        <v>1.57560178892445</v>
      </c>
      <c r="D138">
        <v>1.4816749718694699</v>
      </c>
      <c r="E138">
        <v>6.5055200173700998</v>
      </c>
      <c r="F138">
        <v>3.2472348731294698</v>
      </c>
      <c r="G138">
        <v>8.7273569370111002</v>
      </c>
      <c r="H138">
        <v>4.2899293798974503</v>
      </c>
      <c r="I138">
        <v>-0.55999223401501397</v>
      </c>
      <c r="J138">
        <v>89.736025196564896</v>
      </c>
      <c r="K138">
        <v>5.6674338319907802</v>
      </c>
      <c r="L138" s="10">
        <v>75.101559113023697</v>
      </c>
    </row>
    <row r="139" spans="1:12" x14ac:dyDescent="0.2">
      <c r="A139" s="6">
        <f t="shared" ref="A139:A149" si="10">A138+1</f>
        <v>2007</v>
      </c>
      <c r="B139" t="s">
        <v>7</v>
      </c>
      <c r="C139">
        <v>1.3939031876178301</v>
      </c>
      <c r="D139">
        <v>2.0698842629802301</v>
      </c>
      <c r="E139">
        <v>7.3920632004409397</v>
      </c>
      <c r="F139">
        <v>4.3285621340273197</v>
      </c>
      <c r="G139">
        <v>8.7551461506792805</v>
      </c>
      <c r="H139">
        <v>4.8369242250445597</v>
      </c>
      <c r="I139">
        <v>4.6595909914559598E-3</v>
      </c>
      <c r="J139">
        <v>109.137380191693</v>
      </c>
      <c r="K139">
        <v>7.74338319907939</v>
      </c>
      <c r="L139" s="10">
        <v>99.375391383933504</v>
      </c>
    </row>
    <row r="140" spans="1:12" x14ac:dyDescent="0.2">
      <c r="A140" s="6">
        <f t="shared" si="10"/>
        <v>2008</v>
      </c>
      <c r="B140" t="s">
        <v>7</v>
      </c>
      <c r="C140">
        <v>0.38450914193010799</v>
      </c>
      <c r="D140">
        <v>2.5452097733483301</v>
      </c>
      <c r="E140">
        <v>9.99824628797621</v>
      </c>
      <c r="F140">
        <v>3.6044242029928402</v>
      </c>
      <c r="G140">
        <v>12.2396047756278</v>
      </c>
      <c r="H140">
        <v>0.36698959355435901</v>
      </c>
      <c r="I140">
        <v>-1.2166709811029099E-2</v>
      </c>
      <c r="J140">
        <v>49.036322026601397</v>
      </c>
      <c r="K140">
        <v>3.48101265822784</v>
      </c>
      <c r="L140" s="10">
        <v>106.11923762423901</v>
      </c>
    </row>
    <row r="141" spans="1:12" x14ac:dyDescent="0.2">
      <c r="A141" s="6">
        <f t="shared" si="10"/>
        <v>2009</v>
      </c>
      <c r="B141" t="s">
        <v>7</v>
      </c>
      <c r="C141">
        <v>-0.43582014293857202</v>
      </c>
      <c r="D141">
        <v>1.516195145475</v>
      </c>
      <c r="E141">
        <v>14.4804001803818</v>
      </c>
      <c r="F141">
        <v>0.38230318802862501</v>
      </c>
      <c r="G141">
        <v>12.7938452037875</v>
      </c>
      <c r="H141">
        <v>-4.0996282425130204</v>
      </c>
      <c r="I141">
        <v>-3.3104452498058499</v>
      </c>
      <c r="J141">
        <v>60.7132984388099</v>
      </c>
      <c r="K141">
        <v>10.857307249712299</v>
      </c>
      <c r="L141" s="10">
        <v>119.438333948843</v>
      </c>
    </row>
    <row r="142" spans="1:12" x14ac:dyDescent="0.2">
      <c r="A142" s="6">
        <f t="shared" si="10"/>
        <v>2010</v>
      </c>
      <c r="B142" t="s">
        <v>7</v>
      </c>
      <c r="C142">
        <v>-0.45354496426535801</v>
      </c>
      <c r="D142">
        <v>1.2396720784439801</v>
      </c>
      <c r="E142">
        <v>10.962286840479001</v>
      </c>
      <c r="F142">
        <v>0.61535458685751099</v>
      </c>
      <c r="G142">
        <v>13.610539316591099</v>
      </c>
      <c r="H142">
        <v>3.3269531088047</v>
      </c>
      <c r="I142">
        <v>-2.2112347916127302</v>
      </c>
      <c r="J142">
        <v>62.096390456121298</v>
      </c>
      <c r="K142">
        <v>2.1864211737629001E-2</v>
      </c>
      <c r="L142" s="10">
        <v>158.938004784919</v>
      </c>
    </row>
    <row r="143" spans="1:12" x14ac:dyDescent="0.2">
      <c r="A143" s="6">
        <f t="shared" si="10"/>
        <v>2011</v>
      </c>
      <c r="B143" t="s">
        <v>7</v>
      </c>
      <c r="C143">
        <v>-0.56380716446704904</v>
      </c>
      <c r="D143">
        <v>3.1801559234849699</v>
      </c>
      <c r="E143">
        <v>3.92071551450571</v>
      </c>
      <c r="F143">
        <v>0.74222511385816503</v>
      </c>
      <c r="G143">
        <v>15.3720666941127</v>
      </c>
      <c r="H143">
        <v>4.2111554886054199</v>
      </c>
      <c r="I143">
        <v>-1.8252006212787899</v>
      </c>
      <c r="J143">
        <v>45.007590691772599</v>
      </c>
      <c r="K143">
        <v>-2.3394706559263501</v>
      </c>
      <c r="L143" s="10">
        <v>198.425633038423</v>
      </c>
    </row>
    <row r="144" spans="1:12" x14ac:dyDescent="0.2">
      <c r="A144" s="6">
        <f t="shared" si="10"/>
        <v>2012</v>
      </c>
      <c r="B144" t="s">
        <v>7</v>
      </c>
      <c r="C144">
        <v>-1.02541982724602</v>
      </c>
      <c r="D144">
        <v>2.5354042758398898</v>
      </c>
      <c r="E144">
        <v>-5.4818532560586499</v>
      </c>
      <c r="F144">
        <v>0.231620039037082</v>
      </c>
      <c r="G144">
        <v>15.799711815561899</v>
      </c>
      <c r="H144">
        <v>0.63039843005016505</v>
      </c>
      <c r="I144">
        <v>-1.7743981361636001</v>
      </c>
      <c r="J144">
        <v>54.679718124759198</v>
      </c>
      <c r="K144">
        <v>-3.6812428078250798</v>
      </c>
      <c r="L144" s="10">
        <v>218.31997944732501</v>
      </c>
    </row>
    <row r="145" spans="1:12" x14ac:dyDescent="0.2">
      <c r="A145" s="6">
        <f t="shared" si="10"/>
        <v>2013</v>
      </c>
      <c r="B145" t="s">
        <v>7</v>
      </c>
      <c r="C145">
        <v>-1.0640154338580201</v>
      </c>
      <c r="D145">
        <v>2.2364169747628999</v>
      </c>
      <c r="E145">
        <v>-8.1548444206904591</v>
      </c>
      <c r="F145">
        <v>0.14066363044892599</v>
      </c>
      <c r="G145">
        <v>12.9080897488678</v>
      </c>
      <c r="H145">
        <v>0.93195041390842803</v>
      </c>
      <c r="I145">
        <v>-1.8818275951333101</v>
      </c>
      <c r="J145">
        <v>60.040785806539297</v>
      </c>
      <c r="K145">
        <v>0.52589182968929205</v>
      </c>
      <c r="L145" s="10">
        <v>154.15308530965501</v>
      </c>
    </row>
    <row r="146" spans="1:12" x14ac:dyDescent="0.2">
      <c r="A146" s="6">
        <f t="shared" si="10"/>
        <v>2014</v>
      </c>
      <c r="B146" t="s">
        <v>7</v>
      </c>
      <c r="C146">
        <v>-1.0910246854036001</v>
      </c>
      <c r="D146">
        <v>2.0157129078926199</v>
      </c>
      <c r="E146">
        <v>-9.4976867703305299</v>
      </c>
      <c r="F146">
        <v>-2.3292127521147E-2</v>
      </c>
      <c r="G146">
        <v>12.926615891313199</v>
      </c>
      <c r="H146">
        <v>0.91370803908290499</v>
      </c>
      <c r="I146">
        <v>-0.95961687807403695</v>
      </c>
      <c r="J146">
        <v>48.497043029025903</v>
      </c>
      <c r="K146">
        <v>-6.0126582278480996</v>
      </c>
      <c r="L146" s="10">
        <v>153.27799097609099</v>
      </c>
    </row>
    <row r="147" spans="1:12" x14ac:dyDescent="0.2">
      <c r="A147" s="6">
        <f t="shared" si="10"/>
        <v>2015</v>
      </c>
      <c r="B147" t="s">
        <v>7</v>
      </c>
      <c r="C147">
        <v>-1.1504910773008199</v>
      </c>
      <c r="D147">
        <v>1.7526523067030999</v>
      </c>
      <c r="E147">
        <v>-9.0306983114258301</v>
      </c>
      <c r="F147">
        <v>-0.16187378009108999</v>
      </c>
      <c r="G147">
        <v>17.467064635652498</v>
      </c>
      <c r="H147">
        <v>1.4309899252339</v>
      </c>
      <c r="I147">
        <v>-0.99877038571058696</v>
      </c>
      <c r="J147">
        <v>45.791131352955802</v>
      </c>
      <c r="K147">
        <v>-7.3590333716916003</v>
      </c>
      <c r="L147" s="10">
        <v>165.541354228552</v>
      </c>
    </row>
    <row r="148" spans="1:12" x14ac:dyDescent="0.2">
      <c r="A148" s="6">
        <f t="shared" si="10"/>
        <v>2016</v>
      </c>
      <c r="B148" t="s">
        <v>7</v>
      </c>
      <c r="C148">
        <v>-0.92352128732406702</v>
      </c>
      <c r="D148">
        <v>1.95595563414242</v>
      </c>
      <c r="E148">
        <v>-9.3426920314665907</v>
      </c>
      <c r="F148">
        <v>-0.32778139232270698</v>
      </c>
      <c r="G148">
        <v>24.3989296006587</v>
      </c>
      <c r="H148">
        <v>1.4970494340717699</v>
      </c>
      <c r="I148">
        <v>-0.456445767538182</v>
      </c>
      <c r="J148">
        <v>51.294949357623501</v>
      </c>
      <c r="K148">
        <v>-6.8066743383199002</v>
      </c>
      <c r="L148" s="10">
        <v>180.99600186258601</v>
      </c>
    </row>
    <row r="149" spans="1:12" ht="16" thickBot="1" x14ac:dyDescent="0.25">
      <c r="A149" s="7">
        <f t="shared" si="10"/>
        <v>2017</v>
      </c>
      <c r="B149" s="8" t="s">
        <v>7</v>
      </c>
      <c r="C149" s="8">
        <v>-0.24867365282588599</v>
      </c>
      <c r="D149" s="8">
        <v>2.2587204629480802</v>
      </c>
      <c r="E149" s="8">
        <v>-10.3975915688206</v>
      </c>
      <c r="F149" s="8">
        <v>-0.33363695510735297</v>
      </c>
      <c r="G149" s="8">
        <v>27.471181556195901</v>
      </c>
      <c r="H149" s="8">
        <v>3.14148896474522</v>
      </c>
      <c r="I149" s="8">
        <v>-0.80882733626714998</v>
      </c>
      <c r="J149" s="8">
        <v>70.712165499739399</v>
      </c>
      <c r="K149" s="8">
        <v>-1.9666283084004601</v>
      </c>
      <c r="L149" s="11">
        <v>180.03660945101799</v>
      </c>
    </row>
    <row r="150" spans="1:12" x14ac:dyDescent="0.2">
      <c r="A150" s="6">
        <v>2005</v>
      </c>
      <c r="B150" t="s">
        <v>8</v>
      </c>
      <c r="C150">
        <v>-1.0627158348547101</v>
      </c>
      <c r="D150">
        <v>0.40975609756097597</v>
      </c>
      <c r="E150">
        <v>2.6992341130200801</v>
      </c>
      <c r="F150">
        <v>2.6936087816962502</v>
      </c>
      <c r="G150">
        <v>7.8197010811043404</v>
      </c>
      <c r="H150">
        <v>2.4761023743447401</v>
      </c>
      <c r="I150">
        <v>-0.97719283017230096</v>
      </c>
      <c r="J150">
        <v>61.076285845777797</v>
      </c>
      <c r="K150">
        <v>0.16052631578946799</v>
      </c>
      <c r="L150" s="10">
        <v>59.514256673620999</v>
      </c>
    </row>
    <row r="151" spans="1:12" x14ac:dyDescent="0.2">
      <c r="A151" s="6">
        <v>2006</v>
      </c>
      <c r="B151" t="s">
        <v>8</v>
      </c>
      <c r="C151">
        <v>-0.33443129577898301</v>
      </c>
      <c r="D151">
        <v>0.75121951219512195</v>
      </c>
      <c r="E151">
        <v>-0.218898778720756</v>
      </c>
      <c r="F151">
        <v>4.2806355624528303</v>
      </c>
      <c r="G151">
        <v>8.5730283843735098</v>
      </c>
      <c r="H151">
        <v>4.7353273717751003</v>
      </c>
      <c r="I151">
        <v>-1.0624321861030299</v>
      </c>
      <c r="J151">
        <v>89.437100280894498</v>
      </c>
      <c r="K151">
        <v>1.9131578947368399</v>
      </c>
      <c r="L151" s="10">
        <v>80.073423206547801</v>
      </c>
    </row>
    <row r="152" spans="1:12" x14ac:dyDescent="0.2">
      <c r="A152" s="6">
        <f>A151+1</f>
        <v>2007</v>
      </c>
      <c r="B152" t="s">
        <v>8</v>
      </c>
      <c r="C152">
        <v>1.0349075072037099E-2</v>
      </c>
      <c r="D152">
        <v>1.4926829268292601</v>
      </c>
      <c r="E152">
        <v>-5.3218795280480098</v>
      </c>
      <c r="F152">
        <v>3.8952404003587802</v>
      </c>
      <c r="G152">
        <v>9.21566093810568</v>
      </c>
      <c r="H152">
        <v>3.3524514338575302</v>
      </c>
      <c r="I152">
        <v>-6.7162883555400996E-2</v>
      </c>
      <c r="J152">
        <v>114.083125704219</v>
      </c>
      <c r="K152">
        <v>2.2802631578947299</v>
      </c>
      <c r="L152" s="10">
        <v>90.488418124431504</v>
      </c>
    </row>
    <row r="153" spans="1:12" x14ac:dyDescent="0.2">
      <c r="A153" s="6">
        <f t="shared" ref="A153:A162" si="11">A152+1</f>
        <v>2008</v>
      </c>
      <c r="B153" t="s">
        <v>8</v>
      </c>
      <c r="C153">
        <v>-0.71019840309702398</v>
      </c>
      <c r="D153">
        <v>1.82439024390243</v>
      </c>
      <c r="E153">
        <v>-2.0140757607120601</v>
      </c>
      <c r="F153">
        <v>0.99605620969004904</v>
      </c>
      <c r="G153">
        <v>9.87552224662962</v>
      </c>
      <c r="H153">
        <v>1.1296124987151701</v>
      </c>
      <c r="I153">
        <v>-1.6209148908467499</v>
      </c>
      <c r="J153">
        <v>65.599796867313103</v>
      </c>
      <c r="K153">
        <v>4.8223684210526301</v>
      </c>
      <c r="L153" s="10">
        <v>104.92898411169899</v>
      </c>
    </row>
    <row r="154" spans="1:12" x14ac:dyDescent="0.2">
      <c r="A154" s="6">
        <f t="shared" si="11"/>
        <v>2009</v>
      </c>
      <c r="B154" t="s">
        <v>8</v>
      </c>
      <c r="C154">
        <v>-1.9804621340430599</v>
      </c>
      <c r="D154">
        <v>1.41463414634146</v>
      </c>
      <c r="E154">
        <v>4.8830469882012002</v>
      </c>
      <c r="F154">
        <v>0.16566766803821401</v>
      </c>
      <c r="G154">
        <v>12.6454752982728</v>
      </c>
      <c r="H154">
        <v>-2.1005242059821101</v>
      </c>
      <c r="I154">
        <v>-2.9729395425545699</v>
      </c>
      <c r="J154">
        <v>75.635503784933206</v>
      </c>
      <c r="K154">
        <v>0.46052631578946901</v>
      </c>
      <c r="L154" s="10">
        <v>113.190766597121</v>
      </c>
    </row>
    <row r="155" spans="1:12" x14ac:dyDescent="0.2">
      <c r="A155" s="6">
        <f t="shared" si="11"/>
        <v>2010</v>
      </c>
      <c r="B155" t="s">
        <v>8</v>
      </c>
      <c r="C155">
        <v>-1.03519345401755</v>
      </c>
      <c r="D155">
        <v>0.60487804878048801</v>
      </c>
      <c r="E155">
        <v>5.2634030221486201</v>
      </c>
      <c r="F155">
        <v>0.32253655480729598</v>
      </c>
      <c r="G155">
        <v>11.6767885601068</v>
      </c>
      <c r="H155">
        <v>5.0144927536231796</v>
      </c>
      <c r="I155">
        <v>-2.4597673712078398</v>
      </c>
      <c r="J155">
        <v>78.3349467570184</v>
      </c>
      <c r="K155">
        <v>-3.8815789473684101</v>
      </c>
      <c r="L155" s="10">
        <v>163.196116193227</v>
      </c>
    </row>
    <row r="156" spans="1:12" x14ac:dyDescent="0.2">
      <c r="A156" s="6">
        <f t="shared" si="11"/>
        <v>2011</v>
      </c>
      <c r="B156" t="s">
        <v>8</v>
      </c>
      <c r="C156">
        <v>-0.34193739964366598</v>
      </c>
      <c r="D156">
        <v>1.52195121951219</v>
      </c>
      <c r="E156">
        <v>2.1936452080314601</v>
      </c>
      <c r="F156">
        <v>-0.18803479647479099</v>
      </c>
      <c r="G156">
        <v>14.9282853081793</v>
      </c>
      <c r="H156">
        <v>3.7748997841504801</v>
      </c>
      <c r="I156">
        <v>-1.7137928041317601</v>
      </c>
      <c r="J156">
        <v>69.467887578753604</v>
      </c>
      <c r="K156">
        <v>-6.5973684210526304</v>
      </c>
      <c r="L156" s="10">
        <v>173.540897662226</v>
      </c>
    </row>
    <row r="157" spans="1:12" x14ac:dyDescent="0.2">
      <c r="A157" s="6">
        <f t="shared" si="11"/>
        <v>2012</v>
      </c>
      <c r="B157" t="s">
        <v>8</v>
      </c>
      <c r="C157">
        <v>-0.22865297054747799</v>
      </c>
      <c r="D157">
        <v>1.58048780487804</v>
      </c>
      <c r="E157">
        <v>-3.3486855723452602</v>
      </c>
      <c r="F157">
        <v>-0.119566610191208</v>
      </c>
      <c r="G157">
        <v>18.717319205754301</v>
      </c>
      <c r="H157">
        <v>1.1133723918182701</v>
      </c>
      <c r="I157">
        <v>-1.2664163881775901</v>
      </c>
      <c r="J157">
        <v>83.827146779236003</v>
      </c>
      <c r="K157">
        <v>-5.1131578947368403</v>
      </c>
      <c r="L157" s="10">
        <v>222.61006793986999</v>
      </c>
    </row>
    <row r="158" spans="1:12" x14ac:dyDescent="0.2">
      <c r="A158" s="6">
        <f t="shared" si="11"/>
        <v>2013</v>
      </c>
      <c r="B158" t="s">
        <v>8</v>
      </c>
      <c r="C158">
        <v>-4.9930712887403098E-2</v>
      </c>
      <c r="D158">
        <v>1.45365853658536</v>
      </c>
      <c r="E158">
        <v>-5.5273235354999004</v>
      </c>
      <c r="F158">
        <v>-8.38874097697761E-2</v>
      </c>
      <c r="G158">
        <v>12.1471335659215</v>
      </c>
      <c r="H158">
        <v>2.4115530887038701</v>
      </c>
      <c r="I158">
        <v>-1.7037237967102099</v>
      </c>
      <c r="J158">
        <v>102.369987145509</v>
      </c>
      <c r="K158">
        <v>-2.5552631578947298</v>
      </c>
      <c r="L158" s="10">
        <v>184.12641095597201</v>
      </c>
    </row>
    <row r="159" spans="1:12" x14ac:dyDescent="0.2">
      <c r="A159" s="6">
        <f t="shared" si="11"/>
        <v>2014</v>
      </c>
      <c r="B159" t="s">
        <v>8</v>
      </c>
      <c r="C159">
        <v>1.15038602819872E-2</v>
      </c>
      <c r="D159">
        <v>1.3170731707317</v>
      </c>
      <c r="E159">
        <v>-7.4027116539018802</v>
      </c>
      <c r="F159">
        <v>-0.36304227116761401</v>
      </c>
      <c r="G159">
        <v>13.084377826592499</v>
      </c>
      <c r="H159">
        <v>2.0466646109569302</v>
      </c>
      <c r="I159">
        <v>-0.923549325116096</v>
      </c>
      <c r="J159">
        <v>95.251456048751805</v>
      </c>
      <c r="K159">
        <v>-8.4092105263157801</v>
      </c>
      <c r="L159" s="10">
        <v>155.927352484887</v>
      </c>
    </row>
    <row r="160" spans="1:12" x14ac:dyDescent="0.2">
      <c r="A160" s="6">
        <f t="shared" si="11"/>
        <v>2015</v>
      </c>
      <c r="B160" t="s">
        <v>8</v>
      </c>
      <c r="C160">
        <v>6.57677671953038E-3</v>
      </c>
      <c r="D160">
        <v>1.30731707317073</v>
      </c>
      <c r="E160">
        <v>-8.9655350859035394</v>
      </c>
      <c r="F160">
        <v>-0.52499394905818497</v>
      </c>
      <c r="G160">
        <v>18.543739501227499</v>
      </c>
      <c r="H160">
        <v>1.80367972042347</v>
      </c>
      <c r="I160">
        <v>-0.92667418948830205</v>
      </c>
      <c r="J160">
        <v>93.080792852268601</v>
      </c>
      <c r="K160">
        <v>-5.7763157894736796</v>
      </c>
      <c r="L160" s="10">
        <v>164.299470389985</v>
      </c>
    </row>
    <row r="161" spans="1:12" x14ac:dyDescent="0.2">
      <c r="A161" s="6">
        <f t="shared" si="11"/>
        <v>2016</v>
      </c>
      <c r="B161" t="s">
        <v>8</v>
      </c>
      <c r="C161">
        <v>0.20335217649517201</v>
      </c>
      <c r="D161">
        <v>1.00487804878048</v>
      </c>
      <c r="E161">
        <v>-6.4469054026081496</v>
      </c>
      <c r="F161">
        <v>-0.85477739652889095</v>
      </c>
      <c r="G161">
        <v>24.0246371193521</v>
      </c>
      <c r="H161">
        <v>1.8312262308562</v>
      </c>
      <c r="I161">
        <v>-0.59630658391562796</v>
      </c>
      <c r="J161">
        <v>92.860838239728295</v>
      </c>
      <c r="K161">
        <v>-6.1631578947368402</v>
      </c>
      <c r="L161" s="10">
        <v>190.85687155619701</v>
      </c>
    </row>
    <row r="162" spans="1:12" ht="16" thickBot="1" x14ac:dyDescent="0.25">
      <c r="A162" s="6">
        <f t="shared" si="11"/>
        <v>2017</v>
      </c>
      <c r="B162" t="s">
        <v>8</v>
      </c>
      <c r="C162">
        <v>0.38499989002045498</v>
      </c>
      <c r="D162">
        <v>1.45365853658536</v>
      </c>
      <c r="E162">
        <v>-6.4903746636306998</v>
      </c>
      <c r="F162">
        <v>-0.81610831897717295</v>
      </c>
      <c r="G162">
        <v>27.915751389068301</v>
      </c>
      <c r="H162">
        <v>2.6035563778394502</v>
      </c>
      <c r="I162">
        <v>-1.13274163447767</v>
      </c>
      <c r="J162">
        <v>111.35702156697801</v>
      </c>
      <c r="K162">
        <v>-3.1315789473684199</v>
      </c>
      <c r="L162" s="10">
        <v>180.843096346225</v>
      </c>
    </row>
    <row r="163" spans="1:12" x14ac:dyDescent="0.2">
      <c r="A163" s="4">
        <v>2005</v>
      </c>
      <c r="B163" s="5" t="s">
        <v>9</v>
      </c>
      <c r="C163" s="5">
        <v>0.88843837576769302</v>
      </c>
      <c r="D163" s="5">
        <v>2.7153735991452801</v>
      </c>
      <c r="E163" s="5">
        <v>10.127857268344</v>
      </c>
      <c r="F163" s="5">
        <v>7.3131931206622403</v>
      </c>
      <c r="G163" s="5">
        <v>2.31394027712598</v>
      </c>
      <c r="H163" s="5">
        <v>2.31394027712598</v>
      </c>
      <c r="I163" s="5">
        <v>-4.8517184035476904</v>
      </c>
      <c r="J163" s="5">
        <v>62.289352754650402</v>
      </c>
      <c r="K163" s="5">
        <v>-0.134341577910145</v>
      </c>
      <c r="L163" s="9">
        <v>59.514256673620999</v>
      </c>
    </row>
    <row r="164" spans="1:12" x14ac:dyDescent="0.2">
      <c r="A164" s="6">
        <f>A163+1</f>
        <v>2006</v>
      </c>
      <c r="B164" t="s">
        <v>9</v>
      </c>
      <c r="C164">
        <v>1.2370162780990901</v>
      </c>
      <c r="D164">
        <v>3.0839376236048199</v>
      </c>
      <c r="E164">
        <v>13.884420933455599</v>
      </c>
      <c r="F164">
        <v>10.0365978241408</v>
      </c>
      <c r="G164">
        <v>4.9553189912811497</v>
      </c>
      <c r="H164">
        <v>4.9553189912811497</v>
      </c>
      <c r="I164">
        <v>-3.6419068736142002</v>
      </c>
      <c r="J164">
        <v>89.624404388448994</v>
      </c>
      <c r="K164">
        <v>1.11000642146985</v>
      </c>
      <c r="L164" s="10">
        <v>80.073423206547801</v>
      </c>
    </row>
    <row r="165" spans="1:12" x14ac:dyDescent="0.2">
      <c r="A165" s="6">
        <f t="shared" ref="A165:A176" si="12">A164+1</f>
        <v>2007</v>
      </c>
      <c r="B165" t="s">
        <v>9</v>
      </c>
      <c r="C165">
        <v>1.4442788146204699</v>
      </c>
      <c r="D165">
        <v>3.3170648541747099</v>
      </c>
      <c r="E165">
        <v>14.1109527806515</v>
      </c>
      <c r="F165">
        <v>9.6523996587713707</v>
      </c>
      <c r="G165">
        <v>1.50254402647763</v>
      </c>
      <c r="H165">
        <v>1.50254402647763</v>
      </c>
      <c r="I165">
        <v>-4.1075388026607698</v>
      </c>
      <c r="J165">
        <v>113.82344462720199</v>
      </c>
      <c r="K165">
        <v>2.3313699873784901</v>
      </c>
      <c r="L165" s="10">
        <v>90.488418124431504</v>
      </c>
    </row>
    <row r="166" spans="1:12" x14ac:dyDescent="0.2">
      <c r="A166" s="6">
        <f t="shared" si="12"/>
        <v>2008</v>
      </c>
      <c r="B166" t="s">
        <v>9</v>
      </c>
      <c r="C166">
        <v>1.05336592928268</v>
      </c>
      <c r="D166">
        <v>3.4653906480871002</v>
      </c>
      <c r="E166">
        <v>20.527923637002399</v>
      </c>
      <c r="F166">
        <v>7.3872313087803096</v>
      </c>
      <c r="G166">
        <v>-1.5670585620075601</v>
      </c>
      <c r="H166">
        <v>-1.5670585620075601</v>
      </c>
      <c r="I166">
        <v>-5.9700665188470001</v>
      </c>
      <c r="J166">
        <v>32.1245315652926</v>
      </c>
      <c r="K166">
        <v>1.49967892650738</v>
      </c>
      <c r="L166" s="10">
        <v>104.92898411169899</v>
      </c>
    </row>
    <row r="167" spans="1:12" x14ac:dyDescent="0.2">
      <c r="A167" s="6">
        <f t="shared" si="12"/>
        <v>2009</v>
      </c>
      <c r="B167" t="s">
        <v>9</v>
      </c>
      <c r="C167">
        <v>0.14984198914793301</v>
      </c>
      <c r="D167">
        <v>1.88331704212225</v>
      </c>
      <c r="E167">
        <v>23.424525171289599</v>
      </c>
      <c r="F167">
        <v>7.5823319396320104</v>
      </c>
      <c r="G167">
        <v>-1.9040062242201099</v>
      </c>
      <c r="H167">
        <v>-1.9040062242201099</v>
      </c>
      <c r="I167">
        <v>-7.4792128603104402</v>
      </c>
      <c r="J167">
        <v>42.864361657029498</v>
      </c>
      <c r="K167">
        <v>1.6783729323974199</v>
      </c>
      <c r="L167" s="10">
        <v>113.190766597121</v>
      </c>
    </row>
    <row r="168" spans="1:12" x14ac:dyDescent="0.2">
      <c r="A168" s="6">
        <f t="shared" si="12"/>
        <v>2010</v>
      </c>
      <c r="B168" t="s">
        <v>9</v>
      </c>
      <c r="C168">
        <v>-0.95068868880806001</v>
      </c>
      <c r="D168">
        <v>2.0316428360346399</v>
      </c>
      <c r="E168">
        <v>31.312342618438699</v>
      </c>
      <c r="F168">
        <v>10.7809817695442</v>
      </c>
      <c r="G168">
        <v>-8.6082322720873297</v>
      </c>
      <c r="H168">
        <v>-8.6082322720873297</v>
      </c>
      <c r="I168">
        <v>-6.8847006651884897</v>
      </c>
      <c r="J168">
        <v>32.512675292082797</v>
      </c>
      <c r="K168">
        <v>3.0096100617789601</v>
      </c>
      <c r="L168" s="10">
        <v>163.196116193227</v>
      </c>
    </row>
    <row r="169" spans="1:12" x14ac:dyDescent="0.2">
      <c r="A169" s="6">
        <f t="shared" si="12"/>
        <v>2011</v>
      </c>
      <c r="B169" t="s">
        <v>9</v>
      </c>
      <c r="C169">
        <v>-1.6368731739311899</v>
      </c>
      <c r="D169">
        <v>0.65906662726466703</v>
      </c>
      <c r="E169">
        <v>27.113451365437498</v>
      </c>
      <c r="F169">
        <v>47.768059314804397</v>
      </c>
      <c r="G169">
        <v>-9.5177093881986696</v>
      </c>
      <c r="H169">
        <v>-9.5177093881986696</v>
      </c>
      <c r="I169">
        <v>23.7929600886917</v>
      </c>
      <c r="J169">
        <v>12.2864700795279</v>
      </c>
      <c r="K169">
        <v>4.4935010296494697</v>
      </c>
      <c r="L169" s="10">
        <v>173.540897662226</v>
      </c>
    </row>
    <row r="170" spans="1:12" x14ac:dyDescent="0.2">
      <c r="A170" s="6">
        <f t="shared" si="12"/>
        <v>2012</v>
      </c>
      <c r="B170" t="s">
        <v>9</v>
      </c>
      <c r="C170">
        <v>-2.3464909665493998</v>
      </c>
      <c r="D170">
        <v>-1.4917596781159701</v>
      </c>
      <c r="E170">
        <v>20.312127896308699</v>
      </c>
      <c r="F170">
        <v>7.1781234531495297</v>
      </c>
      <c r="G170">
        <v>-6.4300392718650397</v>
      </c>
      <c r="H170">
        <v>-6.4300392718650397</v>
      </c>
      <c r="I170">
        <v>-9.1879157427937894</v>
      </c>
      <c r="J170">
        <v>18.544249063130501</v>
      </c>
      <c r="K170">
        <v>0.49407674763623499</v>
      </c>
      <c r="L170" s="10">
        <v>222.61006793986999</v>
      </c>
    </row>
    <row r="171" spans="1:12" x14ac:dyDescent="0.2">
      <c r="A171" s="6">
        <f t="shared" si="12"/>
        <v>2013</v>
      </c>
      <c r="B171" t="s">
        <v>9</v>
      </c>
      <c r="C171">
        <v>-2.09331584282392</v>
      </c>
      <c r="D171">
        <v>-2.12240003637107</v>
      </c>
      <c r="E171">
        <v>7.5887680805793698</v>
      </c>
      <c r="F171">
        <v>8.40475613737609</v>
      </c>
      <c r="G171">
        <v>-1.7641588658087799</v>
      </c>
      <c r="H171">
        <v>-1.7641588658087799</v>
      </c>
      <c r="I171">
        <v>-7.3711197339246404</v>
      </c>
      <c r="J171">
        <v>26.144506808200401</v>
      </c>
      <c r="K171">
        <v>4.1843404707601604</v>
      </c>
      <c r="L171" s="10">
        <v>184.12641095597201</v>
      </c>
    </row>
    <row r="172" spans="1:12" x14ac:dyDescent="0.2">
      <c r="A172" s="6">
        <f t="shared" si="12"/>
        <v>2014</v>
      </c>
      <c r="B172" t="s">
        <v>9</v>
      </c>
      <c r="C172">
        <v>-1.69214715878599</v>
      </c>
      <c r="D172">
        <v>-1.3682912413902799</v>
      </c>
      <c r="E172">
        <v>0.77456128364792598</v>
      </c>
      <c r="F172">
        <v>7.6073448410232896</v>
      </c>
      <c r="G172">
        <v>-0.21786005384444701</v>
      </c>
      <c r="H172">
        <v>-0.21786005384444701</v>
      </c>
      <c r="I172">
        <v>-9.4623059866962294</v>
      </c>
      <c r="J172">
        <v>17.145982059586601</v>
      </c>
      <c r="K172">
        <v>-2.72772967826221</v>
      </c>
      <c r="L172" s="10">
        <v>155.927352484887</v>
      </c>
    </row>
    <row r="173" spans="1:12" x14ac:dyDescent="0.2">
      <c r="A173" s="6">
        <f t="shared" si="12"/>
        <v>2015</v>
      </c>
      <c r="B173" t="s">
        <v>9</v>
      </c>
      <c r="C173">
        <v>-1.6608431220559201</v>
      </c>
      <c r="D173">
        <v>0.26462230910868101</v>
      </c>
      <c r="E173">
        <v>-0.194909133498612</v>
      </c>
      <c r="F173">
        <v>7.9195058503859999</v>
      </c>
      <c r="G173">
        <v>-0.31664484896386402</v>
      </c>
      <c r="H173">
        <v>-0.31664484896386402</v>
      </c>
      <c r="I173">
        <v>-6.05321507760533</v>
      </c>
      <c r="J173">
        <v>11.7392705136249</v>
      </c>
      <c r="K173">
        <v>-1.6590199508425301</v>
      </c>
      <c r="L173" s="10">
        <v>164.299470389985</v>
      </c>
    </row>
    <row r="174" spans="1:12" x14ac:dyDescent="0.2">
      <c r="A174" s="6">
        <f t="shared" si="12"/>
        <v>2016</v>
      </c>
      <c r="B174" t="s">
        <v>9</v>
      </c>
      <c r="C174">
        <v>-1.0588515890525301</v>
      </c>
      <c r="D174">
        <v>-0.54206542247277401</v>
      </c>
      <c r="E174">
        <v>-3.20423978605867</v>
      </c>
      <c r="F174">
        <v>6.5688091752588198</v>
      </c>
      <c r="G174">
        <v>0.93400350729863701</v>
      </c>
      <c r="H174">
        <v>0.93400350729863701</v>
      </c>
      <c r="I174">
        <v>-8.5227272727272805</v>
      </c>
      <c r="J174">
        <v>14.376748681600001</v>
      </c>
      <c r="K174">
        <v>-0.65301919798055796</v>
      </c>
      <c r="L174" s="10">
        <v>190.85687155619701</v>
      </c>
    </row>
    <row r="175" spans="1:12" x14ac:dyDescent="0.2">
      <c r="A175" s="6">
        <f t="shared" si="12"/>
        <v>2017</v>
      </c>
      <c r="B175" t="s">
        <v>9</v>
      </c>
      <c r="C175">
        <v>-0.78391270645757505</v>
      </c>
      <c r="D175">
        <v>-0.13360687413334499</v>
      </c>
      <c r="E175">
        <v>-3.20423978605867</v>
      </c>
      <c r="F175">
        <v>6.5067771798085197</v>
      </c>
      <c r="G175">
        <v>1.2777558228567101</v>
      </c>
      <c r="H175">
        <v>1.2777558228567101</v>
      </c>
      <c r="I175">
        <v>-5.7206208425720604</v>
      </c>
      <c r="J175">
        <v>14.376748681600001</v>
      </c>
      <c r="K175">
        <v>2.11002856446934</v>
      </c>
      <c r="L175" s="10">
        <v>180.843096346225</v>
      </c>
    </row>
    <row r="176" spans="1:12" ht="16" thickBot="1" x14ac:dyDescent="0.25">
      <c r="A176" s="7">
        <f t="shared" si="12"/>
        <v>2018</v>
      </c>
      <c r="B176" s="8" t="s">
        <v>9</v>
      </c>
      <c r="C176" s="8">
        <v>-0.78391270645757505</v>
      </c>
      <c r="D176" s="8">
        <v>-0.13360687413334499</v>
      </c>
      <c r="E176" s="8">
        <v>-3.20423978605867</v>
      </c>
      <c r="F176" s="8">
        <v>6.5067771798085197</v>
      </c>
      <c r="G176" s="8">
        <v>1.2777558228567101</v>
      </c>
      <c r="H176" s="8">
        <v>1.2777558228567101</v>
      </c>
      <c r="I176" s="8">
        <v>-5.7206208425720604</v>
      </c>
      <c r="J176" s="8">
        <v>14.376748681600001</v>
      </c>
      <c r="K176" s="8">
        <v>2.11002856446934</v>
      </c>
      <c r="L176" s="11">
        <v>180.843096346225</v>
      </c>
    </row>
    <row r="177" spans="1:12" x14ac:dyDescent="0.2">
      <c r="A177" s="6">
        <v>2004</v>
      </c>
      <c r="B177" t="s">
        <v>16</v>
      </c>
      <c r="C177">
        <v>0.80318389379697597</v>
      </c>
      <c r="D177">
        <v>1.04772727272727</v>
      </c>
      <c r="E177">
        <v>15.9512777817997</v>
      </c>
      <c r="F177">
        <v>4.5578370342841197</v>
      </c>
      <c r="G177">
        <v>3.4057891623025398</v>
      </c>
      <c r="H177">
        <v>1.8564393533882799</v>
      </c>
      <c r="I177">
        <v>0.24756843953124599</v>
      </c>
      <c r="J177">
        <v>68.610962911969693</v>
      </c>
      <c r="K177">
        <v>7.2989475952731402</v>
      </c>
      <c r="L177" s="10">
        <v>53.285320708286399</v>
      </c>
    </row>
    <row r="178" spans="1:12" x14ac:dyDescent="0.2">
      <c r="A178" s="6">
        <f>A177+1</f>
        <v>2005</v>
      </c>
      <c r="B178" t="s">
        <v>16</v>
      </c>
      <c r="C178">
        <v>0.93381926028214002</v>
      </c>
      <c r="D178">
        <v>1.39171554252199</v>
      </c>
      <c r="E178">
        <v>21.5270035473829</v>
      </c>
      <c r="F178">
        <v>4.67425439003995</v>
      </c>
      <c r="G178">
        <v>3.2302736814426898</v>
      </c>
      <c r="H178">
        <v>4.3409699175677101</v>
      </c>
      <c r="I178">
        <v>0.46306400341604798</v>
      </c>
      <c r="J178">
        <v>80.094312021340599</v>
      </c>
      <c r="K178">
        <v>1.88103875579182</v>
      </c>
      <c r="L178" s="10">
        <v>59.514256673620999</v>
      </c>
    </row>
    <row r="179" spans="1:12" x14ac:dyDescent="0.2">
      <c r="A179" s="6">
        <f t="shared" ref="A179:A190" si="13">A178+1</f>
        <v>2006</v>
      </c>
      <c r="B179" t="s">
        <v>16</v>
      </c>
      <c r="C179">
        <v>0.99009838843818199</v>
      </c>
      <c r="D179">
        <v>1.21392961876832</v>
      </c>
      <c r="E179">
        <v>26.426735683776101</v>
      </c>
      <c r="F179">
        <v>5.6238037721824696</v>
      </c>
      <c r="G179">
        <v>4.5535420820825196</v>
      </c>
      <c r="H179">
        <v>4.3409699175677101</v>
      </c>
      <c r="I179">
        <v>0.258955259287379</v>
      </c>
      <c r="J179">
        <v>89.652525600206502</v>
      </c>
      <c r="K179">
        <v>0.69950791997412398</v>
      </c>
      <c r="L179" s="10">
        <v>80.073423206547801</v>
      </c>
    </row>
    <row r="180" spans="1:12" x14ac:dyDescent="0.2">
      <c r="A180" s="6">
        <f t="shared" si="13"/>
        <v>2007</v>
      </c>
      <c r="B180" t="s">
        <v>16</v>
      </c>
      <c r="C180">
        <v>0.91764872032262401</v>
      </c>
      <c r="D180">
        <v>1.46671554252199</v>
      </c>
      <c r="E180">
        <v>29.852313038441999</v>
      </c>
      <c r="F180">
        <v>6.0836198086035402</v>
      </c>
      <c r="G180">
        <v>4.5351359642395401</v>
      </c>
      <c r="H180">
        <v>1.75880526710202</v>
      </c>
      <c r="I180">
        <v>1.03980642406414</v>
      </c>
      <c r="J180">
        <v>105.557180965493</v>
      </c>
      <c r="K180">
        <v>3.2282425200244198</v>
      </c>
      <c r="L180" s="10">
        <v>90.488418124431504</v>
      </c>
    </row>
    <row r="181" spans="1:12" x14ac:dyDescent="0.2">
      <c r="A181" s="6">
        <f t="shared" si="13"/>
        <v>2008</v>
      </c>
      <c r="B181" t="s">
        <v>16</v>
      </c>
      <c r="C181">
        <v>-1.3010340985767399</v>
      </c>
      <c r="D181">
        <v>2.0365102639296202</v>
      </c>
      <c r="E181">
        <v>31.515420256280301</v>
      </c>
      <c r="F181">
        <v>4.3776828021926901</v>
      </c>
      <c r="G181">
        <v>6.5979358853561703</v>
      </c>
      <c r="H181">
        <v>-0.96724119473289605</v>
      </c>
      <c r="I181">
        <v>-0.28021065616548402</v>
      </c>
      <c r="J181">
        <v>77.800533516908999</v>
      </c>
      <c r="K181">
        <v>-17.8712151143996</v>
      </c>
      <c r="L181" s="10">
        <v>104.92898411169899</v>
      </c>
    </row>
    <row r="182" spans="1:12" x14ac:dyDescent="0.2">
      <c r="A182" s="6">
        <f t="shared" si="13"/>
        <v>2009</v>
      </c>
      <c r="B182" t="s">
        <v>16</v>
      </c>
      <c r="C182">
        <v>-2.3838247524597098</v>
      </c>
      <c r="D182">
        <v>2.3335777126099702</v>
      </c>
      <c r="E182">
        <v>27.946499674219901</v>
      </c>
      <c r="F182">
        <v>0.29201895382328003</v>
      </c>
      <c r="G182">
        <v>12.551000284856499</v>
      </c>
      <c r="H182">
        <v>-3.11005245691039</v>
      </c>
      <c r="I182">
        <v>-3.2564406699245598</v>
      </c>
      <c r="J182">
        <v>63.922209792616798</v>
      </c>
      <c r="K182">
        <v>-13.346323767106</v>
      </c>
      <c r="L182" s="10">
        <v>113.190766597121</v>
      </c>
    </row>
    <row r="183" spans="1:12" x14ac:dyDescent="0.2">
      <c r="A183" s="6">
        <f t="shared" si="13"/>
        <v>2010</v>
      </c>
      <c r="B183" t="s">
        <v>16</v>
      </c>
      <c r="C183">
        <v>-1.89927346336717</v>
      </c>
      <c r="D183">
        <v>3.0186950146627498</v>
      </c>
      <c r="E183">
        <v>19.3784840367769</v>
      </c>
      <c r="F183">
        <v>0.41233856731394503</v>
      </c>
      <c r="G183">
        <v>12.6765563029997</v>
      </c>
      <c r="H183">
        <v>1.1151910930307201</v>
      </c>
      <c r="I183">
        <v>-2.5049105660198201</v>
      </c>
      <c r="J183">
        <v>76.0440581705532</v>
      </c>
      <c r="K183">
        <v>-11.444721813153199</v>
      </c>
      <c r="L183" s="10">
        <v>163.196116193227</v>
      </c>
    </row>
    <row r="184" spans="1:12" x14ac:dyDescent="0.2">
      <c r="A184" s="6">
        <f t="shared" si="13"/>
        <v>2011</v>
      </c>
      <c r="B184" t="s">
        <v>16</v>
      </c>
      <c r="C184">
        <v>-1.86657931489007</v>
      </c>
      <c r="D184">
        <v>2.6379032258064501</v>
      </c>
      <c r="E184">
        <v>1.4166003040613999</v>
      </c>
      <c r="F184">
        <v>0.43510173743379699</v>
      </c>
      <c r="G184">
        <v>11.467011416175399</v>
      </c>
      <c r="H184">
        <v>1.2115405202869001</v>
      </c>
      <c r="I184">
        <v>-1.9421169995729901</v>
      </c>
      <c r="J184">
        <v>73.596076069185003</v>
      </c>
      <c r="K184">
        <v>-7.8855824144247704</v>
      </c>
      <c r="L184" s="10">
        <v>173.540897662226</v>
      </c>
    </row>
    <row r="185" spans="1:12" x14ac:dyDescent="0.2">
      <c r="A185" s="6">
        <f t="shared" si="13"/>
        <v>2012</v>
      </c>
      <c r="B185" t="s">
        <v>16</v>
      </c>
      <c r="C185">
        <v>-1.6103927691559301</v>
      </c>
      <c r="D185">
        <v>2.3024926686217002</v>
      </c>
      <c r="E185">
        <v>-4.4523275175559398</v>
      </c>
      <c r="F185">
        <v>0.32193626312366003</v>
      </c>
      <c r="G185">
        <v>19.798409185529302</v>
      </c>
      <c r="H185">
        <v>1.5699603896798999</v>
      </c>
      <c r="I185">
        <v>-1.28367414717464</v>
      </c>
      <c r="J185">
        <v>83.845796403063304</v>
      </c>
      <c r="K185">
        <v>-3.5683883481196799</v>
      </c>
      <c r="L185" s="10">
        <v>222.61006793986999</v>
      </c>
    </row>
    <row r="186" spans="1:12" x14ac:dyDescent="0.2">
      <c r="A186" s="6">
        <f t="shared" si="13"/>
        <v>2013</v>
      </c>
      <c r="B186" t="s">
        <v>16</v>
      </c>
      <c r="C186">
        <v>-0.97225665730381206</v>
      </c>
      <c r="D186">
        <v>1.90153958944281</v>
      </c>
      <c r="E186">
        <v>-17.071418229204301</v>
      </c>
      <c r="F186">
        <v>0.31218061878657999</v>
      </c>
      <c r="G186">
        <v>21.111159804544499</v>
      </c>
      <c r="H186">
        <v>1.64190129536452</v>
      </c>
      <c r="I186">
        <v>-2.1641599848175699</v>
      </c>
      <c r="J186">
        <v>87.7008863264779</v>
      </c>
      <c r="K186">
        <v>0.178244315936922</v>
      </c>
      <c r="L186" s="10">
        <v>184.12641095597201</v>
      </c>
    </row>
    <row r="187" spans="1:12" x14ac:dyDescent="0.2">
      <c r="A187" s="6">
        <f t="shared" si="13"/>
        <v>2014</v>
      </c>
      <c r="B187" t="s">
        <v>16</v>
      </c>
      <c r="C187">
        <v>-0.51213771242958095</v>
      </c>
      <c r="D187">
        <v>1.3186217008797601</v>
      </c>
      <c r="E187">
        <v>-15.862774198219</v>
      </c>
      <c r="F187">
        <v>0.368112979652512</v>
      </c>
      <c r="G187">
        <v>21.111159804544499</v>
      </c>
      <c r="H187">
        <v>2.5296006851514798</v>
      </c>
      <c r="I187">
        <v>-1.8254020970726299</v>
      </c>
      <c r="J187">
        <v>91.604164873935005</v>
      </c>
      <c r="K187">
        <v>9.2239862073919792</v>
      </c>
      <c r="L187" s="10">
        <v>155.927352484887</v>
      </c>
    </row>
    <row r="188" spans="1:12" x14ac:dyDescent="0.2">
      <c r="A188" s="6">
        <f t="shared" si="13"/>
        <v>2015</v>
      </c>
      <c r="B188" t="s">
        <v>16</v>
      </c>
      <c r="C188">
        <v>-0.508112730867607</v>
      </c>
      <c r="D188">
        <v>1.27917888563049</v>
      </c>
      <c r="E188">
        <v>-11.705820603778999</v>
      </c>
      <c r="F188">
        <v>0.39022577348322601</v>
      </c>
      <c r="G188">
        <v>20.641146438197001</v>
      </c>
      <c r="H188">
        <v>1.9437961674338899</v>
      </c>
      <c r="I188">
        <v>-1.26431655358921</v>
      </c>
      <c r="J188">
        <v>86.597366835900502</v>
      </c>
      <c r="K188">
        <v>5.6187816529578596</v>
      </c>
      <c r="L188" s="10">
        <v>164.299470389985</v>
      </c>
    </row>
    <row r="189" spans="1:12" x14ac:dyDescent="0.2">
      <c r="A189" s="6">
        <f t="shared" si="13"/>
        <v>2016</v>
      </c>
      <c r="B189" t="s">
        <v>16</v>
      </c>
      <c r="C189">
        <v>-9.7070315564831505E-2</v>
      </c>
      <c r="D189">
        <v>1.4403225806451601</v>
      </c>
      <c r="E189">
        <v>-1.9568522406428599</v>
      </c>
      <c r="F189">
        <v>0.213973799126634</v>
      </c>
      <c r="G189">
        <v>20.620110874947901</v>
      </c>
      <c r="H189">
        <v>1.46333369018306</v>
      </c>
      <c r="I189">
        <v>-0.92726668880770102</v>
      </c>
      <c r="J189">
        <v>76.583770759831296</v>
      </c>
      <c r="K189">
        <v>-4.1122804496964802</v>
      </c>
      <c r="L189" s="10">
        <v>190.85687155619701</v>
      </c>
    </row>
    <row r="190" spans="1:12" ht="16" thickBot="1" x14ac:dyDescent="0.25">
      <c r="A190" s="6">
        <f t="shared" si="13"/>
        <v>2017</v>
      </c>
      <c r="B190" t="s">
        <v>16</v>
      </c>
      <c r="C190">
        <v>5.7785554003796501E-2</v>
      </c>
      <c r="D190">
        <v>2.3247067448680299</v>
      </c>
      <c r="E190">
        <v>1.85640338811265</v>
      </c>
      <c r="F190">
        <v>0.40323329926600199</v>
      </c>
      <c r="G190">
        <v>25.086223897276302</v>
      </c>
      <c r="H190">
        <v>1.36184562680655</v>
      </c>
      <c r="I190">
        <v>-0.67818000664230904</v>
      </c>
      <c r="J190">
        <v>86.766027020049904</v>
      </c>
      <c r="K190">
        <v>4.1665170072931801E-2</v>
      </c>
      <c r="L190" s="10">
        <v>180.843096346225</v>
      </c>
    </row>
    <row r="191" spans="1:12" x14ac:dyDescent="0.2">
      <c r="A191" s="4">
        <v>2005</v>
      </c>
      <c r="B191" s="5" t="s">
        <v>29</v>
      </c>
      <c r="C191" s="5">
        <v>0.83543606615163302</v>
      </c>
      <c r="D191" s="5">
        <v>1.94261805140466</v>
      </c>
      <c r="E191" s="5">
        <v>7.1227470844622403</v>
      </c>
      <c r="F191" s="5">
        <v>4.2043935868149704</v>
      </c>
      <c r="G191" s="5">
        <v>6.5250910075513602</v>
      </c>
      <c r="H191" s="5">
        <v>3.3840562875443898</v>
      </c>
      <c r="I191" s="5">
        <v>-0.81268668050422799</v>
      </c>
      <c r="J191" s="5">
        <v>74.0473207046509</v>
      </c>
      <c r="K191" s="5">
        <v>4.1472851736893501</v>
      </c>
      <c r="L191" s="9">
        <v>56.169795718354798</v>
      </c>
    </row>
    <row r="192" spans="1:12" x14ac:dyDescent="0.2">
      <c r="A192" s="6">
        <f>A191+1</f>
        <v>2006</v>
      </c>
      <c r="B192" t="s">
        <v>29</v>
      </c>
      <c r="C192">
        <v>1.10271568310665</v>
      </c>
      <c r="D192">
        <v>2.6993424985056702</v>
      </c>
      <c r="E192">
        <v>8.8323124042879009</v>
      </c>
      <c r="F192">
        <v>5.2689737623022497</v>
      </c>
      <c r="G192">
        <v>6.4337073919191203</v>
      </c>
      <c r="H192">
        <v>2.6296837144469101</v>
      </c>
      <c r="I192">
        <v>0.28729813192932502</v>
      </c>
      <c r="J192">
        <v>84.278027566890202</v>
      </c>
      <c r="K192">
        <v>-0.102895531272594</v>
      </c>
      <c r="L192" s="10">
        <v>77.7311567792717</v>
      </c>
    </row>
    <row r="193" spans="1:12" x14ac:dyDescent="0.2">
      <c r="A193" s="6">
        <f t="shared" ref="A193:A201" si="14">A192+1</f>
        <v>2007</v>
      </c>
      <c r="B193" t="s">
        <v>29</v>
      </c>
      <c r="C193">
        <v>0.73365302705401902</v>
      </c>
      <c r="D193">
        <v>2.2741581988443902</v>
      </c>
      <c r="E193">
        <v>11.2477912592766</v>
      </c>
      <c r="F193">
        <v>4.1021754445891396</v>
      </c>
      <c r="G193">
        <v>6.4401004843707597</v>
      </c>
      <c r="H193">
        <v>2.1305300189173901</v>
      </c>
      <c r="I193">
        <v>-0.494279349972154</v>
      </c>
      <c r="J193">
        <v>91.236087565416</v>
      </c>
      <c r="K193">
        <v>-8.1162747849256593</v>
      </c>
      <c r="L193" s="10">
        <v>98.2129184404765</v>
      </c>
    </row>
    <row r="194" spans="1:12" x14ac:dyDescent="0.2">
      <c r="A194" s="6">
        <f t="shared" si="14"/>
        <v>2008</v>
      </c>
      <c r="B194" t="s">
        <v>29</v>
      </c>
      <c r="C194">
        <v>-0.71074082777663605</v>
      </c>
      <c r="D194">
        <v>2.3943016537158801</v>
      </c>
      <c r="E194">
        <v>13.425609612439599</v>
      </c>
      <c r="F194">
        <v>0.63623748425524795</v>
      </c>
      <c r="G194">
        <v>6.4401004843707597</v>
      </c>
      <c r="H194">
        <v>-0.72035445222528305</v>
      </c>
      <c r="I194">
        <v>-2.55763681466106</v>
      </c>
      <c r="J194">
        <v>51.271467531510297</v>
      </c>
      <c r="K194">
        <v>-9.9494026106555097E-2</v>
      </c>
      <c r="L194" s="10">
        <v>92.1028452421059</v>
      </c>
    </row>
    <row r="195" spans="1:12" x14ac:dyDescent="0.2">
      <c r="A195" s="6">
        <f t="shared" si="14"/>
        <v>2009</v>
      </c>
      <c r="B195" t="s">
        <v>29</v>
      </c>
      <c r="C195">
        <v>-2.4974958141174399</v>
      </c>
      <c r="D195">
        <v>1.6104801753337299</v>
      </c>
      <c r="E195">
        <v>13.7074449287313</v>
      </c>
      <c r="F195">
        <v>5.1493349843088503E-2</v>
      </c>
      <c r="G195">
        <v>11.920108908210199</v>
      </c>
      <c r="H195">
        <v>9.2263781487506594E-2</v>
      </c>
      <c r="I195">
        <v>-3.5688503012200701</v>
      </c>
      <c r="J195">
        <v>60.794575071865602</v>
      </c>
      <c r="K195">
        <v>-6.2896665107643397</v>
      </c>
      <c r="L195" s="10">
        <v>136.02952436372499</v>
      </c>
    </row>
    <row r="196" spans="1:12" x14ac:dyDescent="0.2">
      <c r="A196" s="6">
        <f t="shared" si="14"/>
        <v>2010</v>
      </c>
      <c r="B196" t="s">
        <v>29</v>
      </c>
      <c r="C196">
        <v>-1.8397394471697499</v>
      </c>
      <c r="D196">
        <v>0.90655509065550799</v>
      </c>
      <c r="E196">
        <v>0.81900106019553198</v>
      </c>
      <c r="F196">
        <v>4.3039217779298797E-2</v>
      </c>
      <c r="G196">
        <v>13.295751978098</v>
      </c>
      <c r="H196">
        <v>2.78898808536059</v>
      </c>
      <c r="I196">
        <v>-3.1414721814407902</v>
      </c>
      <c r="J196">
        <v>59.2761848603228</v>
      </c>
      <c r="K196">
        <v>-11.0625451762404</v>
      </c>
      <c r="L196" s="10">
        <v>160.75311629046499</v>
      </c>
    </row>
    <row r="197" spans="1:12" x14ac:dyDescent="0.2">
      <c r="A197" s="6">
        <f t="shared" si="14"/>
        <v>2011</v>
      </c>
      <c r="B197" t="s">
        <v>29</v>
      </c>
      <c r="C197">
        <v>-1.47424580677378</v>
      </c>
      <c r="D197">
        <v>2.0988244670252998</v>
      </c>
      <c r="E197">
        <v>-7.7756508422664696</v>
      </c>
      <c r="F197">
        <v>6.63521274097469E-2</v>
      </c>
      <c r="G197">
        <v>16.921011462438699</v>
      </c>
      <c r="H197">
        <v>2.4174438286150401</v>
      </c>
      <c r="I197">
        <v>-1.85792031590138</v>
      </c>
      <c r="J197">
        <v>67.221935578978304</v>
      </c>
      <c r="K197">
        <v>-10.527375030117399</v>
      </c>
      <c r="L197" s="10">
        <v>199.41961961348801</v>
      </c>
    </row>
    <row r="198" spans="1:12" x14ac:dyDescent="0.2">
      <c r="A198" s="6">
        <f t="shared" si="14"/>
        <v>2012</v>
      </c>
      <c r="B198" t="s">
        <v>29</v>
      </c>
      <c r="C198">
        <v>-1.2064374467585099</v>
      </c>
      <c r="D198">
        <v>2.0468220761107698</v>
      </c>
      <c r="E198">
        <v>-7.2561550241489101</v>
      </c>
      <c r="F198">
        <v>5.6745159155440199E-2</v>
      </c>
      <c r="G198">
        <v>16.526143987484499</v>
      </c>
      <c r="H198">
        <v>1.7973183764229499</v>
      </c>
      <c r="I198">
        <v>-1.6713410621171401</v>
      </c>
      <c r="J198">
        <v>91.914203582221504</v>
      </c>
      <c r="K198">
        <v>-9.4371926244029503</v>
      </c>
      <c r="L198" s="10">
        <v>208.13298214449699</v>
      </c>
    </row>
    <row r="199" spans="1:12" x14ac:dyDescent="0.2">
      <c r="A199" s="6">
        <f t="shared" si="14"/>
        <v>2013</v>
      </c>
      <c r="B199" t="s">
        <v>29</v>
      </c>
      <c r="C199">
        <v>-0.54782187233792501</v>
      </c>
      <c r="D199">
        <v>1.7925881649730999</v>
      </c>
      <c r="E199">
        <v>-4.8353751914242</v>
      </c>
      <c r="F199">
        <v>5.6745159155440199E-2</v>
      </c>
      <c r="G199">
        <v>20.1310960016847</v>
      </c>
      <c r="H199">
        <v>1.9091633201686</v>
      </c>
      <c r="I199">
        <v>-2.4734723839416799</v>
      </c>
      <c r="J199">
        <v>118.242795017321</v>
      </c>
      <c r="K199">
        <v>-7.5601286902787699</v>
      </c>
      <c r="L199" s="10">
        <v>155.13307402529699</v>
      </c>
    </row>
    <row r="200" spans="1:12" x14ac:dyDescent="0.2">
      <c r="A200" s="6">
        <f t="shared" si="14"/>
        <v>2014</v>
      </c>
      <c r="B200" t="s">
        <v>29</v>
      </c>
      <c r="C200">
        <v>3.7100138060688702E-2</v>
      </c>
      <c r="D200">
        <v>1.6620840804941199</v>
      </c>
      <c r="E200">
        <v>-3.1187419012839901</v>
      </c>
      <c r="F200">
        <v>7.7752396404861202E-2</v>
      </c>
      <c r="G200">
        <v>23.010996119016799</v>
      </c>
      <c r="H200">
        <v>3.16899538681092</v>
      </c>
      <c r="I200">
        <v>-2.16179820786716</v>
      </c>
      <c r="J200">
        <v>127.662710989901</v>
      </c>
      <c r="K200">
        <v>3.2498547273835201</v>
      </c>
      <c r="L200" s="10">
        <v>149.16082202689</v>
      </c>
    </row>
    <row r="201" spans="1:12" ht="16" thickBot="1" x14ac:dyDescent="0.25">
      <c r="A201" s="7">
        <f t="shared" si="14"/>
        <v>2015</v>
      </c>
      <c r="B201" s="8" t="s">
        <v>29</v>
      </c>
      <c r="C201" s="8">
        <v>-0.13560056399259601</v>
      </c>
      <c r="D201" s="8">
        <v>2.0466228332337102</v>
      </c>
      <c r="E201" s="8">
        <v>-1.6486040758628699</v>
      </c>
      <c r="F201" s="8">
        <v>0.31613330202173401</v>
      </c>
      <c r="G201" s="8">
        <v>22.103553055146001</v>
      </c>
      <c r="H201" s="8">
        <v>1.75417344263383</v>
      </c>
      <c r="I201" s="8">
        <v>-2.0834809902293299</v>
      </c>
      <c r="J201" s="8">
        <v>131.34812412471399</v>
      </c>
      <c r="K201" s="8">
        <v>14.645463951131701</v>
      </c>
      <c r="L201" s="11">
        <v>134.536461364123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364B-B4DE-41D1-8F39-FDFD9E0B4E65}">
  <dimension ref="A1:AB45"/>
  <sheetViews>
    <sheetView tabSelected="1" topLeftCell="B10" workbookViewId="0">
      <selection activeCell="L48" sqref="L48"/>
    </sheetView>
  </sheetViews>
  <sheetFormatPr baseColWidth="10" defaultColWidth="8.83203125" defaultRowHeight="15" x14ac:dyDescent="0.2"/>
  <cols>
    <col min="2" max="2" width="11.6640625" bestFit="1" customWidth="1"/>
    <col min="3" max="3" width="15.1640625" bestFit="1" customWidth="1"/>
    <col min="7" max="7" width="11" bestFit="1" customWidth="1"/>
    <col min="8" max="8" width="11" customWidth="1"/>
    <col min="9" max="9" width="11" bestFit="1" customWidth="1"/>
  </cols>
  <sheetData>
    <row r="1" spans="1:28" ht="16" thickBot="1" x14ac:dyDescent="0.25">
      <c r="A1" s="1" t="s">
        <v>23</v>
      </c>
      <c r="B1" s="2" t="s">
        <v>24</v>
      </c>
      <c r="C1" s="2" t="s">
        <v>34</v>
      </c>
      <c r="D1" s="2" t="s">
        <v>25</v>
      </c>
      <c r="E1" s="2" t="s">
        <v>26</v>
      </c>
      <c r="F1" s="2" t="s">
        <v>36</v>
      </c>
      <c r="G1" s="2" t="s">
        <v>30</v>
      </c>
      <c r="H1" s="2" t="s">
        <v>33</v>
      </c>
      <c r="I1" s="2" t="s">
        <v>27</v>
      </c>
      <c r="J1" s="2" t="s">
        <v>35</v>
      </c>
      <c r="K1" s="2" t="s">
        <v>28</v>
      </c>
      <c r="L1" s="3" t="s">
        <v>31</v>
      </c>
      <c r="N1">
        <v>18.8</v>
      </c>
      <c r="O1">
        <v>104.6</v>
      </c>
      <c r="Q1">
        <v>3.35</v>
      </c>
      <c r="R1" cm="1">
        <f t="array" ref="R1:R10">Q1:Q10/N1:N10</f>
        <v>0.17819148936170212</v>
      </c>
      <c r="U1" t="s">
        <v>37</v>
      </c>
      <c r="V1" t="s">
        <v>38</v>
      </c>
      <c r="Y1" t="s">
        <v>39</v>
      </c>
    </row>
    <row r="2" spans="1:28" x14ac:dyDescent="0.2">
      <c r="A2" s="4">
        <v>2017</v>
      </c>
      <c r="B2" s="5" t="s">
        <v>29</v>
      </c>
      <c r="C2" s="15">
        <v>1.2999999999999999E-2</v>
      </c>
      <c r="D2" s="16">
        <v>0.01</v>
      </c>
      <c r="E2" s="17">
        <v>1.4E-2</v>
      </c>
      <c r="F2" s="15">
        <v>2.5000000000000001E-2</v>
      </c>
      <c r="G2" s="15">
        <v>1.7999999999999999E-2</v>
      </c>
      <c r="H2" s="18" cm="1">
        <f t="array" ref="H2:H10">_xlfn.ANCHORARRAY(W2)</f>
        <v>0.18333068020959711</v>
      </c>
      <c r="I2" s="5">
        <v>953</v>
      </c>
      <c r="J2" s="5">
        <v>94.4</v>
      </c>
      <c r="K2" s="9">
        <v>1302.8</v>
      </c>
      <c r="L2" s="26"/>
      <c r="M2">
        <v>20.5</v>
      </c>
      <c r="N2">
        <v>19.600000000000001</v>
      </c>
      <c r="O2" cm="1">
        <f t="array" ref="O2:O9">M2:M9/N2:N9*100</f>
        <v>104.59183673469387</v>
      </c>
      <c r="P2">
        <f>(O2-O1)/O1</f>
        <v>-7.8042689351084471E-5</v>
      </c>
      <c r="Q2">
        <v>3.6</v>
      </c>
      <c r="R2">
        <v>0.18367346938775508</v>
      </c>
      <c r="S2">
        <f>(R2-R1)/R1</f>
        <v>3.0764544623819612E-2</v>
      </c>
      <c r="U2">
        <v>3595500</v>
      </c>
      <c r="V2">
        <v>19612102</v>
      </c>
      <c r="W2" s="30" cm="1">
        <f t="array" ref="W2:W10">U2:U10/V2:V10</f>
        <v>0.18333068020959711</v>
      </c>
      <c r="X2">
        <v>3524533</v>
      </c>
      <c r="Y2" cm="1">
        <f t="array" ref="Y2:Y10">X2:X10/V2:V10</f>
        <v>0.17971214916177777</v>
      </c>
    </row>
    <row r="3" spans="1:28" x14ac:dyDescent="0.2">
      <c r="A3" s="6">
        <v>2018</v>
      </c>
      <c r="B3" t="s">
        <v>29</v>
      </c>
      <c r="C3" s="14">
        <v>0.02</v>
      </c>
      <c r="D3" s="14">
        <v>1.83E-2</v>
      </c>
      <c r="E3" s="19">
        <v>8.5000000000000006E-3</v>
      </c>
      <c r="F3" s="20">
        <v>0.03</v>
      </c>
      <c r="G3" s="14">
        <v>2.1999999999999999E-2</v>
      </c>
      <c r="H3" s="21">
        <v>0.18516191210560387</v>
      </c>
      <c r="I3">
        <v>894</v>
      </c>
      <c r="J3">
        <v>98.6</v>
      </c>
      <c r="K3" s="10">
        <v>1282.5</v>
      </c>
      <c r="L3" s="27"/>
      <c r="M3">
        <v>22</v>
      </c>
      <c r="N3">
        <v>20.6</v>
      </c>
      <c r="O3">
        <v>106.79611650485437</v>
      </c>
      <c r="P3">
        <f>(O3-O2)/O2</f>
        <v>2.1075065119583288E-2</v>
      </c>
      <c r="Q3">
        <v>3.7</v>
      </c>
      <c r="R3">
        <v>0.1796116504854369</v>
      </c>
      <c r="S3">
        <f t="shared" ref="S3:S10" si="0">(R3-R2)/R2</f>
        <v>-2.2114347357065689E-2</v>
      </c>
      <c r="U3">
        <v>3824800</v>
      </c>
      <c r="V3">
        <v>20656516</v>
      </c>
      <c r="W3" s="30">
        <v>0.18516191210560387</v>
      </c>
      <c r="X3">
        <v>3680583</v>
      </c>
      <c r="Y3">
        <v>0.17818024104355254</v>
      </c>
    </row>
    <row r="4" spans="1:28" x14ac:dyDescent="0.2">
      <c r="A4" s="6">
        <v>2019</v>
      </c>
      <c r="B4" t="s">
        <v>29</v>
      </c>
      <c r="C4" s="20">
        <v>0.01</v>
      </c>
      <c r="D4" s="14">
        <v>2.1600000000000001E-2</v>
      </c>
      <c r="E4" s="19">
        <v>-2.5000000000000022E-3</v>
      </c>
      <c r="F4" s="14">
        <v>2.5999999999999999E-2</v>
      </c>
      <c r="G4" s="14">
        <v>2.3E-2</v>
      </c>
      <c r="H4" s="21">
        <v>0.15538081693847283</v>
      </c>
      <c r="I4">
        <v>1155</v>
      </c>
      <c r="J4">
        <v>98.1</v>
      </c>
      <c r="K4" s="10">
        <v>1517.3</v>
      </c>
      <c r="L4" s="27"/>
      <c r="M4">
        <v>23.2</v>
      </c>
      <c r="N4">
        <v>21.5</v>
      </c>
      <c r="O4">
        <v>107.90697674418604</v>
      </c>
      <c r="P4">
        <f t="shared" ref="P4:P10" si="1">(O4-O3)/O3</f>
        <v>1.0401691331923833E-2</v>
      </c>
      <c r="Q4">
        <v>4</v>
      </c>
      <c r="R4">
        <v>0.18604651162790697</v>
      </c>
      <c r="S4">
        <f t="shared" si="0"/>
        <v>3.5826524198617191E-2</v>
      </c>
      <c r="U4">
        <v>3346900</v>
      </c>
      <c r="V4">
        <v>21539982</v>
      </c>
      <c r="W4" s="30">
        <v>0.15538081693847283</v>
      </c>
      <c r="X4">
        <v>3845317</v>
      </c>
      <c r="Y4">
        <v>0.17851997276506545</v>
      </c>
    </row>
    <row r="5" spans="1:28" x14ac:dyDescent="0.2">
      <c r="A5" s="6">
        <v>2020</v>
      </c>
      <c r="B5" t="s">
        <v>29</v>
      </c>
      <c r="C5" s="20">
        <v>0.20899999999999999</v>
      </c>
      <c r="D5" s="14">
        <v>3.5999999999999999E-3</v>
      </c>
      <c r="E5" s="19">
        <v>5.5000000000000005E-3</v>
      </c>
      <c r="F5" s="14">
        <v>-2.1000000000000001E-2</v>
      </c>
      <c r="G5" s="14">
        <v>1.6E-2</v>
      </c>
      <c r="H5" s="21">
        <v>0.16121491213117628</v>
      </c>
      <c r="I5">
        <v>1380</v>
      </c>
      <c r="J5">
        <v>95</v>
      </c>
      <c r="K5" s="10">
        <v>1898.4</v>
      </c>
      <c r="L5" s="27"/>
      <c r="M5">
        <v>27.8</v>
      </c>
      <c r="N5">
        <v>21.3</v>
      </c>
      <c r="O5">
        <v>130.51643192488262</v>
      </c>
      <c r="P5">
        <f t="shared" si="1"/>
        <v>0.20952727861421405</v>
      </c>
      <c r="Q5">
        <v>17.8</v>
      </c>
      <c r="R5">
        <v>0.83568075117370888</v>
      </c>
      <c r="S5">
        <f t="shared" si="0"/>
        <v>3.4917840375586855</v>
      </c>
      <c r="U5">
        <v>3442600</v>
      </c>
      <c r="V5">
        <v>21354104</v>
      </c>
      <c r="W5" s="30">
        <v>0.16121491213117628</v>
      </c>
      <c r="X5">
        <v>12781800</v>
      </c>
      <c r="Y5">
        <v>0.5985640980300555</v>
      </c>
    </row>
    <row r="6" spans="1:28" x14ac:dyDescent="0.2">
      <c r="A6" s="6">
        <v>2021</v>
      </c>
      <c r="B6" t="s">
        <v>29</v>
      </c>
      <c r="C6" s="20">
        <v>-0.04</v>
      </c>
      <c r="D6" s="14">
        <v>8.0000000000000004E-4</v>
      </c>
      <c r="E6" s="19">
        <v>1.43E-2</v>
      </c>
      <c r="F6" s="14">
        <v>6.2E-2</v>
      </c>
      <c r="G6" s="14">
        <v>5.5E-2</v>
      </c>
      <c r="H6" s="21">
        <v>0.22161067210783927</v>
      </c>
      <c r="I6">
        <v>1733</v>
      </c>
      <c r="J6">
        <v>101</v>
      </c>
      <c r="K6" s="10">
        <v>1829.2</v>
      </c>
      <c r="L6" s="27"/>
      <c r="M6">
        <v>29.6</v>
      </c>
      <c r="N6">
        <v>23.7</v>
      </c>
      <c r="O6">
        <v>124.89451476793249</v>
      </c>
      <c r="P6">
        <f t="shared" si="1"/>
        <v>-4.307440123850282E-2</v>
      </c>
      <c r="Q6">
        <v>20.399999999999999</v>
      </c>
      <c r="R6">
        <v>0.860759493670886</v>
      </c>
      <c r="S6">
        <f t="shared" si="0"/>
        <v>3.0009955909543411E-2</v>
      </c>
      <c r="U6">
        <v>5248000</v>
      </c>
      <c r="V6">
        <v>23681170</v>
      </c>
      <c r="W6" s="30">
        <v>0.22161067210783927</v>
      </c>
      <c r="X6">
        <v>19355340</v>
      </c>
      <c r="Y6">
        <v>0.81733039372632343</v>
      </c>
    </row>
    <row r="7" spans="1:28" x14ac:dyDescent="0.2">
      <c r="A7" s="6">
        <v>2022</v>
      </c>
      <c r="B7" t="s">
        <v>29</v>
      </c>
      <c r="C7" s="20">
        <v>-0.03</v>
      </c>
      <c r="D7" s="14">
        <v>1.6799999999999999E-2</v>
      </c>
      <c r="E7" s="19">
        <v>2.1899999999999999E-2</v>
      </c>
      <c r="F7" s="14">
        <v>2.5000000000000001E-2</v>
      </c>
      <c r="G7" s="14">
        <v>5.7000000000000002E-2</v>
      </c>
      <c r="H7" s="21">
        <v>0.23470317022118597</v>
      </c>
      <c r="I7">
        <v>1369</v>
      </c>
      <c r="J7">
        <v>107.5</v>
      </c>
      <c r="K7" s="10">
        <v>1824</v>
      </c>
      <c r="L7" s="27"/>
      <c r="M7">
        <v>31.4</v>
      </c>
      <c r="N7">
        <v>26</v>
      </c>
      <c r="O7">
        <v>120.76923076923076</v>
      </c>
      <c r="P7">
        <f t="shared" si="1"/>
        <v>-3.3030145530145626E-2</v>
      </c>
      <c r="Q7">
        <v>19.600000000000001</v>
      </c>
      <c r="R7">
        <v>0.75384615384615394</v>
      </c>
      <c r="S7">
        <f t="shared" si="0"/>
        <v>-0.1242081447963799</v>
      </c>
      <c r="U7">
        <v>6103900</v>
      </c>
      <c r="V7">
        <v>26006892</v>
      </c>
      <c r="W7" s="30">
        <v>0.23470317022118597</v>
      </c>
      <c r="X7">
        <v>20395950</v>
      </c>
      <c r="Y7">
        <v>0.78425172834954671</v>
      </c>
    </row>
    <row r="8" spans="1:28" x14ac:dyDescent="0.2">
      <c r="A8" s="6">
        <v>2023</v>
      </c>
      <c r="B8" t="s">
        <v>29</v>
      </c>
      <c r="C8" s="20">
        <v>1.2E-2</v>
      </c>
      <c r="D8" s="14">
        <v>5.0299999999999997E-2</v>
      </c>
      <c r="E8" s="19">
        <v>-1.1499999999999996E-2</v>
      </c>
      <c r="F8" s="14">
        <v>2.9000000000000001E-2</v>
      </c>
      <c r="G8" s="14">
        <v>3.9E-2</v>
      </c>
      <c r="H8" s="21">
        <v>0.19223894337482697</v>
      </c>
      <c r="I8">
        <v>1719</v>
      </c>
      <c r="J8">
        <v>108.4</v>
      </c>
      <c r="K8" s="10">
        <v>2063</v>
      </c>
      <c r="L8" s="27"/>
      <c r="M8">
        <v>34</v>
      </c>
      <c r="N8">
        <v>27.8</v>
      </c>
      <c r="O8">
        <v>122.30215827338129</v>
      </c>
      <c r="P8">
        <f t="shared" si="1"/>
        <v>1.2693030289144562E-2</v>
      </c>
      <c r="Q8">
        <v>17.899999999999999</v>
      </c>
      <c r="R8">
        <v>0.64388489208633082</v>
      </c>
      <c r="S8">
        <f t="shared" si="0"/>
        <v>-0.14586697988547964</v>
      </c>
      <c r="U8">
        <v>5329000</v>
      </c>
      <c r="V8">
        <v>27720710</v>
      </c>
      <c r="W8" s="30">
        <v>0.19223894337482697</v>
      </c>
      <c r="X8">
        <v>18500880</v>
      </c>
      <c r="Y8">
        <v>0.66740281904756404</v>
      </c>
    </row>
    <row r="9" spans="1:28" x14ac:dyDescent="0.2">
      <c r="A9" s="6">
        <v>2024</v>
      </c>
      <c r="B9" t="s">
        <v>29</v>
      </c>
      <c r="C9" s="20">
        <v>0.01</v>
      </c>
      <c r="D9" s="14">
        <v>5.1499999999999997E-2</v>
      </c>
      <c r="E9" s="19">
        <v>-5.8999999999999955E-3</v>
      </c>
      <c r="F9" s="14">
        <v>2.8000000000000001E-2</v>
      </c>
      <c r="G9" s="14">
        <v>3.2000000000000001E-2</v>
      </c>
      <c r="H9" s="21">
        <v>0.20032104573256143</v>
      </c>
      <c r="I9">
        <v>2124</v>
      </c>
      <c r="J9">
        <v>113.4</v>
      </c>
      <c r="K9" s="10">
        <v>2624</v>
      </c>
      <c r="L9" s="27"/>
      <c r="M9">
        <v>36.200000000000003</v>
      </c>
      <c r="N9">
        <v>29.3</v>
      </c>
      <c r="O9">
        <v>123.54948805460752</v>
      </c>
      <c r="P9">
        <f t="shared" si="1"/>
        <v>1.0198755270026212E-2</v>
      </c>
      <c r="Q9">
        <v>18.3</v>
      </c>
      <c r="R9">
        <v>0.62457337883959041</v>
      </c>
      <c r="S9">
        <f t="shared" si="0"/>
        <v>-2.9992182584323096E-2</v>
      </c>
      <c r="U9">
        <v>5843300</v>
      </c>
      <c r="V9">
        <v>29169676</v>
      </c>
      <c r="W9" s="30">
        <v>0.20032104573256143</v>
      </c>
      <c r="X9">
        <v>18092220</v>
      </c>
      <c r="Y9">
        <v>0.62024069105189927</v>
      </c>
    </row>
    <row r="10" spans="1:28" ht="16" thickBot="1" x14ac:dyDescent="0.25">
      <c r="A10" s="7">
        <v>2025</v>
      </c>
      <c r="B10" s="8" t="s">
        <v>29</v>
      </c>
      <c r="C10" s="22">
        <v>-0.03</v>
      </c>
      <c r="D10" s="23">
        <v>3.6999999999999998E-2</v>
      </c>
      <c r="E10" s="24">
        <v>3.0000000000000027E-3</v>
      </c>
      <c r="F10" s="23">
        <v>1.7999999999999999E-2</v>
      </c>
      <c r="G10" s="22">
        <v>0.03</v>
      </c>
      <c r="H10" s="25">
        <v>0.184261164229643</v>
      </c>
      <c r="I10" s="8">
        <v>2480</v>
      </c>
      <c r="J10" s="8">
        <v>108.7</v>
      </c>
      <c r="K10" s="11">
        <v>4002</v>
      </c>
      <c r="L10" s="28"/>
      <c r="N10">
        <f>N9*(1+0.03)</f>
        <v>30.179000000000002</v>
      </c>
      <c r="O10">
        <v>120</v>
      </c>
      <c r="P10">
        <f t="shared" si="1"/>
        <v>-2.872928176795591E-2</v>
      </c>
      <c r="Q10">
        <v>19</v>
      </c>
      <c r="R10">
        <v>0.62957685808012187</v>
      </c>
      <c r="S10">
        <f t="shared" si="0"/>
        <v>8.0110350681733226E-3</v>
      </c>
      <c r="U10">
        <v>5613900</v>
      </c>
      <c r="V10">
        <v>30467082</v>
      </c>
      <c r="W10" s="30">
        <v>0.184261164229643</v>
      </c>
      <c r="X10">
        <v>18594152</v>
      </c>
      <c r="Y10">
        <v>0.61030301490638328</v>
      </c>
    </row>
    <row r="11" spans="1:28" ht="16" thickBot="1" x14ac:dyDescent="0.25">
      <c r="A11" s="1" t="str" cm="1">
        <f t="array" ref="A11:K11">A1:K1</f>
        <v>Year</v>
      </c>
      <c r="B11" s="2" t="str">
        <v>Country</v>
      </c>
      <c r="C11" s="2" t="str">
        <v>ChangeDebt/GDP</v>
      </c>
      <c r="D11" s="2" t="str">
        <v>SRi</v>
      </c>
      <c r="E11" s="2" t="str">
        <v>Curve</v>
      </c>
      <c r="F11" s="2" t="str">
        <v>R.GDPg</v>
      </c>
      <c r="G11" s="2" t="str">
        <v>CoreInflation</v>
      </c>
      <c r="H11" s="2" t="str">
        <v>Money0/GDP</v>
      </c>
      <c r="I11" s="2" t="str">
        <v>Equityg</v>
      </c>
      <c r="J11" s="2" t="str">
        <v>R.FXxTWI</v>
      </c>
      <c r="K11" s="2" t="str">
        <v>Gold_Price</v>
      </c>
      <c r="L11" s="29" t="str">
        <f>L1</f>
        <v>BDG</v>
      </c>
      <c r="N11" t="s">
        <v>74</v>
      </c>
      <c r="O11" t="s">
        <v>75</v>
      </c>
      <c r="P11" t="s">
        <v>72</v>
      </c>
      <c r="Q11" t="s">
        <v>73</v>
      </c>
      <c r="R11" t="s">
        <v>86</v>
      </c>
      <c r="S11" t="s">
        <v>87</v>
      </c>
      <c r="T11" t="str">
        <f>I23</f>
        <v>UK40s</v>
      </c>
      <c r="U11" t="s">
        <v>89</v>
      </c>
      <c r="V11" t="s">
        <v>90</v>
      </c>
      <c r="W11" t="s">
        <v>91</v>
      </c>
      <c r="X11" t="s">
        <v>92</v>
      </c>
      <c r="Y11" t="s">
        <v>93</v>
      </c>
      <c r="AB11" t="s">
        <v>101</v>
      </c>
    </row>
    <row r="12" spans="1:28" x14ac:dyDescent="0.2">
      <c r="A12" cm="1">
        <f t="array" ref="A12:B20">A2:B10</f>
        <v>2017</v>
      </c>
      <c r="B12" t="str">
        <v>United States</v>
      </c>
      <c r="C12" cm="1">
        <f t="array" ref="C12:H20">C2:H10*100</f>
        <v>1.3</v>
      </c>
      <c r="D12">
        <v>1</v>
      </c>
      <c r="E12">
        <v>1.4000000000000001</v>
      </c>
      <c r="F12">
        <v>2.5</v>
      </c>
      <c r="G12">
        <v>1.7999999999999998</v>
      </c>
      <c r="H12">
        <v>18.333068020959711</v>
      </c>
      <c r="I12">
        <v>0.1</v>
      </c>
      <c r="J12">
        <v>1</v>
      </c>
      <c r="K12" cm="1">
        <f t="array" ref="K12:K20">K2:K10</f>
        <v>1302.8</v>
      </c>
      <c r="L12">
        <f t="shared" ref="L12:L20" si="2">$B$24+C12*$B$26+D12*$B$27+E12*$B$30+F12*$B$29+$B$25*G12+H12*$B$28+I12*$B$31+J12*$B$32+K12*$B$33</f>
        <v>-0.52670067574848844</v>
      </c>
      <c r="M12">
        <v>0.13</v>
      </c>
      <c r="N12">
        <f>$D$24+C12*$D$26+D12*$D$27+E12*$D$30+F12*$D$29+G12*$D$25+H12*$D$28+I12*$D$31+J12*$D$32</f>
        <v>-2.722504054998489E-2</v>
      </c>
      <c r="O12">
        <f>$C$24+C12*$C$26+D12*$C$27+E12*$C$30+F12*$C$29+G12*$C$25+H12*$C$28+I12*$C$31+J12*$C$32+M12*$C$33</f>
        <v>-0.10798798550656979</v>
      </c>
      <c r="P12">
        <f t="shared" ref="P12:U12" si="3">E$24+$C12*E$26+$D12*E$27+$E12*E$30+$F12*E$29+$G12*E$25+$H12*E$28+$I12*E$31+$J12*E$32</f>
        <v>-5.4706486102194738</v>
      </c>
      <c r="Q12">
        <f t="shared" si="3"/>
        <v>-1.3959337332826212</v>
      </c>
      <c r="R12">
        <f t="shared" si="3"/>
        <v>-5.9098945255373643</v>
      </c>
      <c r="S12">
        <f t="shared" si="3"/>
        <v>1.4077192783957839</v>
      </c>
      <c r="T12">
        <f t="shared" si="3"/>
        <v>-1.5681874551801862</v>
      </c>
      <c r="U12">
        <f t="shared" si="3"/>
        <v>0.38695544265900084</v>
      </c>
      <c r="V12">
        <f>K$24+$C12*K$26+$D12*K$27+$E12*K$30+$F12*K$29+$G12*K$25+$H12*K$28+$I12*K$31+$J12*K$32+$M12*K$33</f>
        <v>-0.18522322260156093</v>
      </c>
      <c r="W12">
        <f>L$24+$C12*L$26+$D12*L$27+$E12*L$30+$F12*L$29+$G12*L$25+$H12*L$28+$I12*L$31+$J12*L$32+$M12*L$33</f>
        <v>-1.2163456505657384</v>
      </c>
      <c r="X12">
        <f>M$24+$C12*M$26+$D12*M$27+$E12*M$30+$F12*M$29+$G12*M$25+$H12*M$28+$I12*M$31+$J12*M$32+$M12*M$33</f>
        <v>-0.12785071303167739</v>
      </c>
      <c r="Y12">
        <f>N$24+$C12*N$26+$D12*N$27+$E12*N$30+$F12*N$29+$G12*N$25+$H12*N$28+$I12*N$31+$J12*N$32+N$33*M12</f>
        <v>1.8924662825098142</v>
      </c>
      <c r="Z12">
        <f>O$24+$C12*O$26+$D12*O$27+$E12*O$30+$F12*O$29+$G12*O$25+$H12*O$28+$I12*O$31+$J12*O$32</f>
        <v>-4.123307550600136E-2</v>
      </c>
      <c r="AA12">
        <v>-0.28000000000000003</v>
      </c>
      <c r="AB12">
        <v>-3.8597023033333601E-2</v>
      </c>
    </row>
    <row r="13" spans="1:28" x14ac:dyDescent="0.2">
      <c r="A13">
        <v>2018</v>
      </c>
      <c r="B13" t="str">
        <v>United States</v>
      </c>
      <c r="C13">
        <v>2</v>
      </c>
      <c r="D13">
        <v>1.83</v>
      </c>
      <c r="E13">
        <v>0.85000000000000009</v>
      </c>
      <c r="F13">
        <v>3</v>
      </c>
      <c r="G13">
        <v>2.1999999999999997</v>
      </c>
      <c r="H13">
        <v>18.516191210560386</v>
      </c>
      <c r="I13">
        <f>I3/I2-1</f>
        <v>-6.1909758656872982E-2</v>
      </c>
      <c r="J13">
        <f>(J3/J2-1)*100</f>
        <v>4.4491525423728584</v>
      </c>
      <c r="K13">
        <v>1282.5</v>
      </c>
      <c r="L13">
        <f t="shared" si="2"/>
        <v>-0.47764719023353303</v>
      </c>
      <c r="M13">
        <f>K13/K12-1</f>
        <v>-1.5581823764200142E-2</v>
      </c>
      <c r="N13">
        <f t="shared" ref="N13:N20" si="4">$D$24+C13*$D$26+D13*$D$27+E13*$D$30+F13*$D$29+G13*$D$25+H13*$D$28+I13*$D$31+J13*$D$32</f>
        <v>4.5555169261148179E-2</v>
      </c>
      <c r="O13">
        <f t="shared" ref="O13:O20" si="5">$C$24+C13*$C$26+D13*$C$27+E13*$C$30+F13*$C$29+G13*$C$25+H13*$C$28+I13*$C$31+J13*$C$32+M13*$C$33</f>
        <v>0.11062812800887564</v>
      </c>
      <c r="P13">
        <f t="shared" ref="P13:P20" si="6">E$24+$C13*E$26+$D13*E$27+$E13*E$30+$F13*E$29+$G13*E$25+$H13*E$28+$I13*E$31+$J13*E$32</f>
        <v>-5.087308523060126</v>
      </c>
      <c r="Q13">
        <f t="shared" ref="Q13:Q20" si="7">F$24+$C13*F$26+$D13*F$27+$E13*F$30+$F13*F$29+$G13*F$25+$H13*F$28+$I13*F$31+$J13*F$32</f>
        <v>-1.6054336129465994</v>
      </c>
      <c r="R13">
        <f t="shared" ref="R13:R20" si="8">G$24+$C13*G$26+$D13*G$27+$E13*G$30+$F13*G$29+$G13*G$25+$H13*G$28+$I13*G$31+$J13*G$32</f>
        <v>-4.413405712418756</v>
      </c>
      <c r="S13">
        <f t="shared" ref="S13:S20" si="9">H$24+$C13*H$26+$D13*H$27+$E13*H$30+$F13*H$29+$G13*H$25+$H13*H$28+$I13*H$31+$J13*H$32</f>
        <v>1.4537361950830332</v>
      </c>
      <c r="T13">
        <f t="shared" ref="T13:T20" si="10">I$24+$C13*I$26+$D13*I$27+$E13*I$30+$F13*I$29+$G13*I$25+$H13*I$28+$I13*I$31+$J13*I$32</f>
        <v>-3.1568252508902188</v>
      </c>
      <c r="U13">
        <f t="shared" ref="U13:U20" si="11">J$24+$C13*J$26+$D13*J$27+$E13*J$30+$F13*J$29+$G13*J$25+$H13*J$28+$I13*J$31+$J13*J$32</f>
        <v>0.27725574996162411</v>
      </c>
      <c r="V13">
        <f t="shared" ref="V13:V20" si="12">K$24+$C13*K$26+$D13*K$27+$E13*K$30+$F13*K$29+$G13*K$25+$H13*K$28+$I13*K$31+$J13*K$32+$M13*K$33</f>
        <v>-0.10295682736484346</v>
      </c>
      <c r="W13">
        <f t="shared" ref="W13:W20" si="13">L$24+$C13*L$26+$D13*L$27+$E13*L$30+$F13*L$29+$G13*L$25+$H13*L$28+$I13*L$31+$J13*L$32+$M13*L$33</f>
        <v>-0.86606297386868403</v>
      </c>
      <c r="X13">
        <f t="shared" ref="X13:X20" si="14">M$24+$C13*M$26+$D13*M$27+$E13*M$30+$F13*M$29+$G13*M$25+$H13*M$28+$I13*M$31+$J13*M$32+$M13*M$33</f>
        <v>0.53330871714877259</v>
      </c>
      <c r="Y13">
        <f t="shared" ref="Y13:Y20" si="15">N$24+$C13*N$26+$D13*N$27+$E13*N$30+$F13*N$29+$G13*N$25+$H13*N$28+$I13*N$31+$J13*N$32+N$33*M13</f>
        <v>2.4482802973243039</v>
      </c>
      <c r="Z13">
        <f t="shared" ref="Z13:Z20" si="16">O$24+$C13*O$26+$D13*O$27+$E13*O$30+$F13*O$29+$G13*O$25+$H13*O$28+$I13*O$31+$J13*O$32</f>
        <v>7.3655986761039571E-2</v>
      </c>
      <c r="AA13">
        <v>-0.2</v>
      </c>
      <c r="AB13">
        <v>-6.2336155910643398E-2</v>
      </c>
    </row>
    <row r="14" spans="1:28" x14ac:dyDescent="0.2">
      <c r="A14">
        <v>2019</v>
      </c>
      <c r="B14" t="str">
        <v>United States</v>
      </c>
      <c r="C14">
        <v>1</v>
      </c>
      <c r="D14">
        <v>2.16</v>
      </c>
      <c r="E14">
        <v>-0.25000000000000022</v>
      </c>
      <c r="F14">
        <v>2.6</v>
      </c>
      <c r="G14">
        <v>2.2999999999999998</v>
      </c>
      <c r="H14">
        <v>15.538081693847284</v>
      </c>
      <c r="I14">
        <f t="shared" ref="I14:I20" si="17">I4/I3-1</f>
        <v>0.29194630872483218</v>
      </c>
      <c r="J14">
        <f t="shared" ref="J14" si="18">(J4/J3-1)*100</f>
        <v>-0.50709939148072536</v>
      </c>
      <c r="K14">
        <v>1517.3</v>
      </c>
      <c r="L14">
        <f t="shared" si="2"/>
        <v>-0.61898129129176971</v>
      </c>
      <c r="M14">
        <f t="shared" ref="M14:M20" si="19">K14/K13-1</f>
        <v>0.18307992202729051</v>
      </c>
      <c r="N14">
        <f t="shared" si="4"/>
        <v>-8.73854870124538E-3</v>
      </c>
      <c r="O14">
        <f t="shared" si="5"/>
        <v>-0.14548061558971392</v>
      </c>
      <c r="P14">
        <f t="shared" si="6"/>
        <v>-2.6958994744226192</v>
      </c>
      <c r="Q14">
        <f t="shared" si="7"/>
        <v>-1.0290715134497077</v>
      </c>
      <c r="R14">
        <f t="shared" si="8"/>
        <v>-3.2830158848560598</v>
      </c>
      <c r="S14">
        <f t="shared" si="9"/>
        <v>0.91975905945823688</v>
      </c>
      <c r="T14">
        <f t="shared" si="10"/>
        <v>-2.179652299299311</v>
      </c>
      <c r="U14">
        <f t="shared" si="11"/>
        <v>0.32840691386631587</v>
      </c>
      <c r="V14">
        <f t="shared" si="12"/>
        <v>0.38037311217194086</v>
      </c>
      <c r="W14">
        <f t="shared" si="13"/>
        <v>-0.96743643892021169</v>
      </c>
      <c r="X14">
        <f t="shared" si="14"/>
        <v>-4.7301289262288992E-3</v>
      </c>
      <c r="Y14">
        <f t="shared" si="15"/>
        <v>0.71347526348954826</v>
      </c>
      <c r="Z14">
        <f t="shared" si="16"/>
        <v>-6.0893951988561429E-2</v>
      </c>
      <c r="AA14">
        <v>-0.51600000000000001</v>
      </c>
      <c r="AB14">
        <v>-0.153920962089201</v>
      </c>
    </row>
    <row r="15" spans="1:28" x14ac:dyDescent="0.2">
      <c r="A15">
        <v>2020</v>
      </c>
      <c r="B15" t="str">
        <v>United States</v>
      </c>
      <c r="C15">
        <v>20.9</v>
      </c>
      <c r="D15">
        <v>0.36</v>
      </c>
      <c r="E15">
        <v>0.55000000000000004</v>
      </c>
      <c r="F15">
        <v>-2.1</v>
      </c>
      <c r="G15">
        <v>1.6</v>
      </c>
      <c r="H15">
        <v>16.121491213117629</v>
      </c>
      <c r="I15">
        <f t="shared" si="17"/>
        <v>0.19480519480519476</v>
      </c>
      <c r="J15">
        <f t="shared" ref="J15" si="20">(J5/J4-1)*100</f>
        <v>-3.1600407747196635</v>
      </c>
      <c r="K15">
        <v>1898.4</v>
      </c>
      <c r="L15">
        <f t="shared" si="2"/>
        <v>-1.1378480524976013</v>
      </c>
      <c r="M15">
        <f t="shared" si="19"/>
        <v>0.25116984116522789</v>
      </c>
      <c r="N15">
        <f t="shared" si="4"/>
        <v>-0.38189455437629805</v>
      </c>
      <c r="O15">
        <f t="shared" si="5"/>
        <v>-0.50607885377894712</v>
      </c>
      <c r="P15">
        <f t="shared" si="6"/>
        <v>-6.8553700327444114</v>
      </c>
      <c r="Q15">
        <f t="shared" si="7"/>
        <v>-2.1658063211036187</v>
      </c>
      <c r="R15">
        <f t="shared" si="8"/>
        <v>-10.187490558855771</v>
      </c>
      <c r="S15">
        <f t="shared" si="9"/>
        <v>0.98211193457366763</v>
      </c>
      <c r="T15">
        <f t="shared" si="10"/>
        <v>2.5593366138020794</v>
      </c>
      <c r="U15">
        <f t="shared" si="11"/>
        <v>8.5440062891026902E-2</v>
      </c>
      <c r="V15">
        <f t="shared" si="12"/>
        <v>-0.90612777495419494</v>
      </c>
      <c r="W15">
        <f t="shared" si="13"/>
        <v>-1.8391516832081845</v>
      </c>
      <c r="X15">
        <f t="shared" si="14"/>
        <v>-1.2158050081484693</v>
      </c>
      <c r="Y15">
        <f t="shared" si="15"/>
        <v>0.81088066631141709</v>
      </c>
      <c r="Z15">
        <f t="shared" si="16"/>
        <v>-0.43952343923132525</v>
      </c>
      <c r="AA15">
        <v>-1.1299999999999999</v>
      </c>
      <c r="AB15">
        <v>-0.87402750435658305</v>
      </c>
    </row>
    <row r="16" spans="1:28" x14ac:dyDescent="0.2">
      <c r="A16">
        <v>2021</v>
      </c>
      <c r="B16" t="str">
        <v>United States</v>
      </c>
      <c r="C16">
        <v>-4</v>
      </c>
      <c r="D16" s="12">
        <v>0.08</v>
      </c>
      <c r="E16">
        <v>1.43</v>
      </c>
      <c r="F16">
        <v>6.2</v>
      </c>
      <c r="G16">
        <v>5.5</v>
      </c>
      <c r="H16">
        <v>22.161067210783926</v>
      </c>
      <c r="I16">
        <f t="shared" si="17"/>
        <v>0.25579710144927525</v>
      </c>
      <c r="J16">
        <f t="shared" ref="J16" si="21">(J6/J5-1)*100</f>
        <v>6.315789473684208</v>
      </c>
      <c r="K16">
        <v>1829.2</v>
      </c>
      <c r="L16">
        <f t="shared" si="2"/>
        <v>-6.9258937477881699E-2</v>
      </c>
      <c r="M16">
        <f t="shared" si="19"/>
        <v>-3.6451748841129339E-2</v>
      </c>
      <c r="N16">
        <f t="shared" si="4"/>
        <v>0.71845608843090369</v>
      </c>
      <c r="O16">
        <f t="shared" si="5"/>
        <v>0.79199265304825595</v>
      </c>
      <c r="P16">
        <f t="shared" si="6"/>
        <v>-6.4580537869579109</v>
      </c>
      <c r="Q16">
        <f t="shared" si="7"/>
        <v>-1.6863053871031657</v>
      </c>
      <c r="R16">
        <f t="shared" si="8"/>
        <v>-2.9828683699226106</v>
      </c>
      <c r="S16">
        <f t="shared" si="9"/>
        <v>1.9087862596276162</v>
      </c>
      <c r="T16">
        <f t="shared" si="10"/>
        <v>-5.3930992274868714</v>
      </c>
      <c r="U16">
        <f t="shared" si="11"/>
        <v>0.66227522226100344</v>
      </c>
      <c r="V16">
        <f t="shared" si="12"/>
        <v>0.42561816669041436</v>
      </c>
      <c r="W16">
        <f t="shared" si="13"/>
        <v>1.2005747545230443</v>
      </c>
      <c r="X16">
        <f t="shared" si="14"/>
        <v>2.4472313906259786</v>
      </c>
      <c r="Y16">
        <f t="shared" si="15"/>
        <v>5.410103999890401</v>
      </c>
      <c r="Z16">
        <f t="shared" si="16"/>
        <v>0.68171844010463634</v>
      </c>
      <c r="AA16">
        <v>0.1</v>
      </c>
      <c r="AB16">
        <v>0.96547824152039696</v>
      </c>
    </row>
    <row r="17" spans="1:28" x14ac:dyDescent="0.2">
      <c r="A17">
        <v>2022</v>
      </c>
      <c r="B17" t="str">
        <v>United States</v>
      </c>
      <c r="C17">
        <v>-3</v>
      </c>
      <c r="D17" s="12">
        <v>1.68</v>
      </c>
      <c r="E17">
        <v>2.19</v>
      </c>
      <c r="F17">
        <v>2.5</v>
      </c>
      <c r="G17">
        <v>5.7</v>
      </c>
      <c r="H17">
        <v>23.470317022118596</v>
      </c>
      <c r="I17">
        <f t="shared" si="17"/>
        <v>-0.21004039238315064</v>
      </c>
      <c r="J17">
        <f t="shared" ref="J17" si="22">(J7/J6-1)*100</f>
        <v>6.4356435643564414</v>
      </c>
      <c r="K17">
        <v>1824</v>
      </c>
      <c r="L17">
        <f t="shared" si="2"/>
        <v>-0.54936288381397402</v>
      </c>
      <c r="M17">
        <f t="shared" si="19"/>
        <v>-2.8427727968510785E-3</v>
      </c>
      <c r="N17">
        <f t="shared" si="4"/>
        <v>0.24867503936165958</v>
      </c>
      <c r="O17">
        <f t="shared" si="5"/>
        <v>0.30152979833265936</v>
      </c>
      <c r="P17">
        <f t="shared" si="6"/>
        <v>-7.8282702433629128</v>
      </c>
      <c r="Q17">
        <f t="shared" si="7"/>
        <v>-1.687639385152971</v>
      </c>
      <c r="R17">
        <f t="shared" si="8"/>
        <v>-2.7953216939974226</v>
      </c>
      <c r="S17">
        <f t="shared" si="9"/>
        <v>1.391281586213938</v>
      </c>
      <c r="T17">
        <f t="shared" si="10"/>
        <v>-6.9069925626831239</v>
      </c>
      <c r="U17">
        <f t="shared" si="11"/>
        <v>0.49225322879369493</v>
      </c>
      <c r="V17">
        <f t="shared" si="12"/>
        <v>0.79044556592019943</v>
      </c>
      <c r="W17">
        <f t="shared" si="13"/>
        <v>-0.15071565837438902</v>
      </c>
      <c r="X17">
        <f t="shared" si="14"/>
        <v>1.5534733985527904</v>
      </c>
      <c r="Y17">
        <f t="shared" si="15"/>
        <v>4.5948692762920649</v>
      </c>
      <c r="Z17">
        <f t="shared" si="16"/>
        <v>0.30363101674921117</v>
      </c>
      <c r="AA17">
        <v>0.2</v>
      </c>
      <c r="AB17">
        <v>0.36701284966634901</v>
      </c>
    </row>
    <row r="18" spans="1:28" x14ac:dyDescent="0.2">
      <c r="A18">
        <v>2023</v>
      </c>
      <c r="B18" t="str">
        <v>United States</v>
      </c>
      <c r="C18">
        <v>1.2</v>
      </c>
      <c r="D18" s="12">
        <v>5.0299999999999994</v>
      </c>
      <c r="E18">
        <v>-1.1499999999999997</v>
      </c>
      <c r="F18">
        <v>2.9000000000000004</v>
      </c>
      <c r="G18">
        <v>3.9</v>
      </c>
      <c r="H18">
        <v>19.223894337482697</v>
      </c>
      <c r="I18">
        <f t="shared" si="17"/>
        <v>0.25566106647187725</v>
      </c>
      <c r="J18">
        <f t="shared" ref="J18" si="23">(J8/J7-1)*100</f>
        <v>0.83720930232558111</v>
      </c>
      <c r="K18">
        <v>2063</v>
      </c>
      <c r="L18">
        <f t="shared" si="2"/>
        <v>-0.74073108603035798</v>
      </c>
      <c r="M18">
        <f t="shared" si="19"/>
        <v>0.13103070175438591</v>
      </c>
      <c r="N18">
        <f t="shared" si="4"/>
        <v>0.21924592922168912</v>
      </c>
      <c r="O18">
        <f t="shared" si="5"/>
        <v>0.13581244812727866</v>
      </c>
      <c r="P18">
        <f t="shared" si="6"/>
        <v>-4.522260825601645</v>
      </c>
      <c r="Q18">
        <f t="shared" si="7"/>
        <v>-1.3588294347006522</v>
      </c>
      <c r="R18">
        <f t="shared" si="8"/>
        <v>3.6770522254867366</v>
      </c>
      <c r="S18">
        <f t="shared" si="9"/>
        <v>0.42343517887156856</v>
      </c>
      <c r="T18">
        <f t="shared" si="10"/>
        <v>-10.787876460952978</v>
      </c>
      <c r="U18">
        <f t="shared" si="11"/>
        <v>0.57998557857953803</v>
      </c>
      <c r="V18">
        <f t="shared" si="12"/>
        <v>1.4946009103108948</v>
      </c>
      <c r="W18">
        <f t="shared" si="13"/>
        <v>-0.99185152515079655</v>
      </c>
      <c r="X18">
        <f t="shared" si="14"/>
        <v>0.81797175871180416</v>
      </c>
      <c r="Y18">
        <f t="shared" si="15"/>
        <v>1.4730655694785855</v>
      </c>
      <c r="Z18">
        <f t="shared" si="16"/>
        <v>0.18326987965750766</v>
      </c>
      <c r="AA18">
        <v>-0.5</v>
      </c>
      <c r="AB18">
        <v>0.18295647824029901</v>
      </c>
    </row>
    <row r="19" spans="1:28" x14ac:dyDescent="0.2">
      <c r="A19">
        <v>2024</v>
      </c>
      <c r="B19" t="str">
        <v>United States</v>
      </c>
      <c r="C19">
        <v>1</v>
      </c>
      <c r="D19" s="12">
        <v>5.1499999999999995</v>
      </c>
      <c r="E19">
        <v>-0.58999999999999952</v>
      </c>
      <c r="F19">
        <v>2.8000000000000003</v>
      </c>
      <c r="G19">
        <v>3.2</v>
      </c>
      <c r="H19">
        <v>20.032104573256142</v>
      </c>
      <c r="I19">
        <f t="shared" si="17"/>
        <v>0.23560209424083767</v>
      </c>
      <c r="J19">
        <f t="shared" ref="J19" si="24">(J9/J8-1)*100</f>
        <v>4.6125461254612476</v>
      </c>
      <c r="K19">
        <v>2624</v>
      </c>
      <c r="L19">
        <f t="shared" si="2"/>
        <v>-0.98880385618028488</v>
      </c>
      <c r="M19">
        <f t="shared" si="19"/>
        <v>0.27193407658749402</v>
      </c>
      <c r="N19">
        <f t="shared" si="4"/>
        <v>0.22823438484679195</v>
      </c>
      <c r="O19">
        <f t="shared" si="5"/>
        <v>-1.3637333218370351E-2</v>
      </c>
      <c r="P19">
        <f t="shared" si="6"/>
        <v>-5.2409242485270591</v>
      </c>
      <c r="Q19">
        <f t="shared" si="7"/>
        <v>-1.4094283765059394</v>
      </c>
      <c r="R19">
        <f t="shared" si="8"/>
        <v>3.2898653074888595</v>
      </c>
      <c r="S19">
        <f t="shared" si="9"/>
        <v>0.25687014868102409</v>
      </c>
      <c r="T19">
        <f t="shared" si="10"/>
        <v>-11.178590594875466</v>
      </c>
      <c r="U19">
        <f t="shared" si="11"/>
        <v>0.59393947369109135</v>
      </c>
      <c r="V19">
        <f t="shared" si="12"/>
        <v>1.5015904545184471</v>
      </c>
      <c r="W19">
        <f t="shared" si="13"/>
        <v>-1.4313092776501488</v>
      </c>
      <c r="X19">
        <f t="shared" si="14"/>
        <v>0.66100064984579765</v>
      </c>
      <c r="Y19">
        <f t="shared" si="15"/>
        <v>1.1337544762404472</v>
      </c>
      <c r="Z19">
        <f t="shared" si="16"/>
        <v>0.19197562170465293</v>
      </c>
      <c r="AA19">
        <v>-0.4</v>
      </c>
      <c r="AB19">
        <v>0.11310558704554401</v>
      </c>
    </row>
    <row r="20" spans="1:28" x14ac:dyDescent="0.2">
      <c r="A20">
        <v>2025</v>
      </c>
      <c r="B20" t="str">
        <v>United States</v>
      </c>
      <c r="C20">
        <v>-3</v>
      </c>
      <c r="D20">
        <v>3.6999999999999997</v>
      </c>
      <c r="E20">
        <v>0.30000000000000027</v>
      </c>
      <c r="F20">
        <v>1.7999999999999998</v>
      </c>
      <c r="G20">
        <v>3</v>
      </c>
      <c r="H20">
        <v>18.426116422964299</v>
      </c>
      <c r="I20">
        <f t="shared" si="17"/>
        <v>0.16760828625235402</v>
      </c>
      <c r="J20">
        <f t="shared" ref="J20" si="25">(J10/J9-1)*100</f>
        <v>-4.1446208112874805</v>
      </c>
      <c r="K20">
        <v>4002</v>
      </c>
      <c r="L20">
        <f t="shared" si="2"/>
        <v>-1.8588849052124479</v>
      </c>
      <c r="M20">
        <f t="shared" si="19"/>
        <v>0.52515243902439024</v>
      </c>
      <c r="N20">
        <f t="shared" si="4"/>
        <v>-9.2927598193117633E-2</v>
      </c>
      <c r="O20">
        <f t="shared" si="5"/>
        <v>-0.57103588105269576</v>
      </c>
      <c r="P20">
        <f t="shared" si="6"/>
        <v>-4.4252050382024732</v>
      </c>
      <c r="Q20">
        <f t="shared" si="7"/>
        <v>-0.86322606416186698</v>
      </c>
      <c r="R20">
        <f t="shared" si="8"/>
        <v>-5.6761437647265184E-2</v>
      </c>
      <c r="S20">
        <f t="shared" si="9"/>
        <v>0.67750181306768575</v>
      </c>
      <c r="T20">
        <f t="shared" si="10"/>
        <v>-6.7477301502613516</v>
      </c>
      <c r="U20">
        <f t="shared" si="11"/>
        <v>0.59257745664677175</v>
      </c>
      <c r="V20">
        <f t="shared" si="12"/>
        <v>1.7559206303312098</v>
      </c>
      <c r="W20">
        <f t="shared" si="13"/>
        <v>-2.5804558931776089</v>
      </c>
      <c r="X20">
        <f t="shared" si="14"/>
        <v>-0.66316183870555756</v>
      </c>
      <c r="Y20">
        <f t="shared" si="15"/>
        <v>2.7009639087023141E-2</v>
      </c>
      <c r="Z20">
        <f t="shared" si="16"/>
        <v>-0.1161847627644544</v>
      </c>
      <c r="AA20">
        <v>-0.6</v>
      </c>
      <c r="AB20">
        <v>-7.2597360824520202E-2</v>
      </c>
    </row>
    <row r="21" spans="1:28" x14ac:dyDescent="0.2">
      <c r="C21" s="13"/>
      <c r="D21" s="12"/>
      <c r="L21" t="s">
        <v>32</v>
      </c>
    </row>
    <row r="22" spans="1:28" x14ac:dyDescent="0.2">
      <c r="C22" s="13"/>
      <c r="D22" s="12"/>
      <c r="L22" t="s">
        <v>32</v>
      </c>
    </row>
    <row r="23" spans="1:28" x14ac:dyDescent="0.2">
      <c r="A23" cm="1">
        <f t="array" ref="A23:B33">Sheet4!A16:B26</f>
        <v>0</v>
      </c>
      <c r="B23" t="str">
        <v>Coefficients</v>
      </c>
      <c r="C23" s="13" t="s">
        <v>70</v>
      </c>
      <c r="D23" s="12" t="s">
        <v>71</v>
      </c>
      <c r="E23" t="s">
        <v>72</v>
      </c>
      <c r="F23" t="s">
        <v>73</v>
      </c>
      <c r="G23" t="s">
        <v>76</v>
      </c>
      <c r="H23" t="s">
        <v>87</v>
      </c>
      <c r="I23" t="s">
        <v>88</v>
      </c>
      <c r="J23" t="s">
        <v>89</v>
      </c>
      <c r="K23" t="s">
        <v>90</v>
      </c>
      <c r="L23" t="s">
        <v>91</v>
      </c>
      <c r="M23" t="s">
        <v>92</v>
      </c>
      <c r="N23" t="s">
        <v>93</v>
      </c>
    </row>
    <row r="24" spans="1:28" x14ac:dyDescent="0.2">
      <c r="A24" t="str">
        <v>Intercept</v>
      </c>
      <c r="B24">
        <v>-0.50684192517119064</v>
      </c>
      <c r="C24">
        <v>-0.75604601597472954</v>
      </c>
      <c r="D24">
        <v>-0.79605714847122222</v>
      </c>
      <c r="E24">
        <v>9.0191269574523485</v>
      </c>
      <c r="F24">
        <v>1.0052002215263214</v>
      </c>
      <c r="G24">
        <v>-16.598444972624467</v>
      </c>
      <c r="H24">
        <v>1.1100423923782194</v>
      </c>
      <c r="I24">
        <v>18.449187533525009</v>
      </c>
      <c r="J24">
        <v>-0.525220673171646</v>
      </c>
      <c r="K24">
        <v>-1.386773849167783</v>
      </c>
      <c r="L24">
        <v>-0.23793759829384659</v>
      </c>
      <c r="M24">
        <v>-1.2327465837627698</v>
      </c>
      <c r="N24">
        <v>-2.0468294899862269</v>
      </c>
      <c r="O24">
        <v>-0.797736</v>
      </c>
    </row>
    <row r="25" spans="1:28" x14ac:dyDescent="0.2">
      <c r="A25" t="str">
        <v>CoreInflation</v>
      </c>
      <c r="B25">
        <v>6.9271590029618788E-2</v>
      </c>
      <c r="C25">
        <v>7.844447151484972E-2</v>
      </c>
      <c r="D25">
        <v>7.216567326857258E-2</v>
      </c>
      <c r="E25">
        <v>0.29741496273710982</v>
      </c>
      <c r="F25">
        <v>7.2470673482992604E-2</v>
      </c>
      <c r="G25">
        <v>6.266303911894E-2</v>
      </c>
      <c r="H25">
        <v>1.5434254180278365E-2</v>
      </c>
      <c r="I25">
        <v>4.4855214829450867E-2</v>
      </c>
      <c r="J25">
        <v>3.667291608618823E-2</v>
      </c>
      <c r="K25">
        <v>0.23335961777140518</v>
      </c>
      <c r="L25">
        <v>0.34981613722896882</v>
      </c>
      <c r="M25">
        <v>0.34898490857328024</v>
      </c>
      <c r="N25">
        <v>0.48694109170303707</v>
      </c>
      <c r="O25">
        <v>7.1956000000000006E-2</v>
      </c>
    </row>
    <row r="26" spans="1:28" x14ac:dyDescent="0.2">
      <c r="A26" t="str">
        <v>ChangeDebt/GDP</v>
      </c>
      <c r="B26">
        <v>1.2899275525790297E-2</v>
      </c>
      <c r="C26">
        <v>1.8437841960079613E-2</v>
      </c>
      <c r="D26">
        <v>1.4546767446483045E-2</v>
      </c>
      <c r="E26">
        <v>-9.6106073071396958E-2</v>
      </c>
      <c r="F26">
        <v>-4.7262581497078966E-2</v>
      </c>
      <c r="G26">
        <v>-0.18053504449578986</v>
      </c>
      <c r="H26">
        <v>3.7127582532612169E-2</v>
      </c>
      <c r="I26">
        <v>8.9942681611049222E-2</v>
      </c>
      <c r="J26">
        <v>1.1024007147647315E-2</v>
      </c>
      <c r="K26">
        <v>-2.7677407210366749E-2</v>
      </c>
      <c r="L26">
        <v>-7.9746871037038314E-4</v>
      </c>
      <c r="M26">
        <v>2.6079131436497135E-2</v>
      </c>
      <c r="N26">
        <v>0.10831265824037697</v>
      </c>
      <c r="O26">
        <v>1.4522E-2</v>
      </c>
    </row>
    <row r="27" spans="1:28" x14ac:dyDescent="0.2">
      <c r="A27" t="str">
        <v>SRi</v>
      </c>
      <c r="B27">
        <v>1.4046022978019979E-2</v>
      </c>
      <c r="C27">
        <v>2.5806704730630591E-2</v>
      </c>
      <c r="D27">
        <v>2.8699793578524844E-2</v>
      </c>
      <c r="E27">
        <v>0.26983475388413547</v>
      </c>
      <c r="F27">
        <v>0.17384509616389912</v>
      </c>
      <c r="G27">
        <v>1.0997441206978131</v>
      </c>
      <c r="H27">
        <v>-0.15898939612373439</v>
      </c>
      <c r="I27">
        <v>-1.249584569756738</v>
      </c>
      <c r="J27">
        <v>0.12921249452710568</v>
      </c>
      <c r="K27">
        <v>0.23023673638868422</v>
      </c>
      <c r="L27">
        <v>-0.12899302132446713</v>
      </c>
      <c r="M27">
        <v>2.6319632344773303E-2</v>
      </c>
      <c r="N27">
        <v>1.1118069323455011E-2</v>
      </c>
      <c r="O27">
        <v>2.9848E-2</v>
      </c>
    </row>
    <row r="28" spans="1:28" x14ac:dyDescent="0.2">
      <c r="A28" t="str">
        <v>Money0/GDP</v>
      </c>
      <c r="B28">
        <v>-2.0082906280580691E-4</v>
      </c>
      <c r="C28">
        <v>1.0017537196056013E-2</v>
      </c>
      <c r="D28">
        <v>1.0038070130995082E-2</v>
      </c>
      <c r="E28">
        <v>-0.85827149277884263</v>
      </c>
      <c r="F28">
        <v>-0.16838794925590247</v>
      </c>
      <c r="G28">
        <v>0.63822285331495765</v>
      </c>
      <c r="H28">
        <v>-1.4022138073841679E-2</v>
      </c>
      <c r="I28">
        <v>-1.108341796761956</v>
      </c>
      <c r="J28">
        <v>9.3025971162171203E-3</v>
      </c>
      <c r="K28">
        <v>2.1531264944993106E-2</v>
      </c>
      <c r="L28">
        <v>-9.027222862675377E-2</v>
      </c>
      <c r="M28">
        <v>-8.6057398642187238E-3</v>
      </c>
      <c r="N28">
        <v>6.6373605731572277E-2</v>
      </c>
      <c r="O28">
        <v>1.021E-2</v>
      </c>
    </row>
    <row r="29" spans="1:28" x14ac:dyDescent="0.2">
      <c r="A29" t="str">
        <v>R.GDPg</v>
      </c>
      <c r="B29">
        <v>0.11088720114483348</v>
      </c>
      <c r="C29">
        <v>0.11754467194191362</v>
      </c>
      <c r="D29">
        <v>0.11540018577509011</v>
      </c>
      <c r="E29">
        <v>0.21195880436196307</v>
      </c>
      <c r="F29">
        <v>-1.0785666631051917E-2</v>
      </c>
      <c r="G29">
        <v>5.2579273491272289E-2</v>
      </c>
      <c r="H29">
        <v>0.27327382933457911</v>
      </c>
      <c r="I29">
        <v>-6.0706890452909779E-2</v>
      </c>
      <c r="J29">
        <v>8.0445674056748628E-2</v>
      </c>
      <c r="K29">
        <v>6.8622776198130411E-2</v>
      </c>
      <c r="L29">
        <v>6.5972280344691381E-2</v>
      </c>
      <c r="M29">
        <v>0.24719352494329577</v>
      </c>
      <c r="N29">
        <v>0.4523597316459208</v>
      </c>
      <c r="O29">
        <v>0.12093</v>
      </c>
    </row>
    <row r="30" spans="1:28" x14ac:dyDescent="0.2">
      <c r="A30" t="str">
        <v>Curve</v>
      </c>
      <c r="B30">
        <v>6.7144409352283066E-2</v>
      </c>
      <c r="C30">
        <v>4.9657046101172726E-2</v>
      </c>
      <c r="D30">
        <v>5.0854522702438988E-2</v>
      </c>
      <c r="E30">
        <v>1.7997083201477033E-2</v>
      </c>
      <c r="F30">
        <v>0.30045065849576658</v>
      </c>
      <c r="G30">
        <v>-1.624473762771341</v>
      </c>
      <c r="H30">
        <v>0.10110289473049999</v>
      </c>
      <c r="I30">
        <v>1.1839058294261382</v>
      </c>
      <c r="J30">
        <v>0.21049158242424487</v>
      </c>
      <c r="K30">
        <v>-0.11065041445980013</v>
      </c>
      <c r="L30">
        <v>7.8197985483510965E-2</v>
      </c>
      <c r="M30">
        <v>-1.5980495786035755E-3</v>
      </c>
      <c r="N30">
        <v>0.65454170781357679</v>
      </c>
      <c r="O30">
        <v>4.7287999999999997E-2</v>
      </c>
    </row>
    <row r="31" spans="1:28" x14ac:dyDescent="0.2">
      <c r="A31" t="str">
        <v>EquityG</v>
      </c>
      <c r="B31">
        <v>0.37206973080290801</v>
      </c>
      <c r="C31">
        <v>0.32033573500087598</v>
      </c>
      <c r="D31">
        <v>0.36665574733480505</v>
      </c>
      <c r="E31">
        <v>-0.26741606927880618</v>
      </c>
      <c r="F31">
        <v>0.62874340476704416</v>
      </c>
      <c r="G31">
        <v>1.7345794866341777</v>
      </c>
      <c r="H31">
        <v>-1.4057823678597623</v>
      </c>
      <c r="I31">
        <v>-1.5307774813407282</v>
      </c>
      <c r="J31">
        <v>0.57337592426777484</v>
      </c>
      <c r="K31">
        <v>-0.48502495822887598</v>
      </c>
      <c r="L31">
        <v>1.7819421894320426</v>
      </c>
      <c r="M31">
        <v>0.17123022651272274</v>
      </c>
      <c r="N31">
        <v>-0.28798374672078386</v>
      </c>
      <c r="O31">
        <v>0.124157</v>
      </c>
    </row>
    <row r="32" spans="1:28" ht="16" thickBot="1" x14ac:dyDescent="0.25">
      <c r="A32" t="str">
        <v>R.FXxTWI</v>
      </c>
      <c r="B32">
        <v>9.6348909602596792E-3</v>
      </c>
      <c r="C32">
        <v>7.6331480134039491E-3</v>
      </c>
      <c r="D32" s="8">
        <v>1.0932311313536841E-2</v>
      </c>
      <c r="E32" s="8">
        <v>3.6378977616121709E-2</v>
      </c>
      <c r="F32" s="8">
        <v>-1.3458275470801256E-2</v>
      </c>
      <c r="G32" s="8">
        <v>-2.0517433046108178E-2</v>
      </c>
      <c r="H32" s="8">
        <v>-4.6462810741740856E-2</v>
      </c>
      <c r="I32" s="8">
        <v>1.2270718435657847E-3</v>
      </c>
      <c r="J32" s="8">
        <v>-2.1063975609323278E-2</v>
      </c>
      <c r="K32">
        <v>-2.3895729130779263E-2</v>
      </c>
      <c r="L32">
        <v>7.0982567756010029E-2</v>
      </c>
      <c r="M32">
        <v>7.0182708676907277E-2</v>
      </c>
      <c r="N32">
        <v>-2.6857732229577272E-3</v>
      </c>
      <c r="O32">
        <v>1.0130999999999999E-2</v>
      </c>
    </row>
    <row r="33" spans="1:15" ht="16" thickBot="1" x14ac:dyDescent="0.25">
      <c r="A33" t="str">
        <v>Gold Price</v>
      </c>
      <c r="B33">
        <v>-4.5267341181991487E-4</v>
      </c>
      <c r="C33" s="8">
        <v>-0.99706441742315566</v>
      </c>
      <c r="K33" s="8">
        <v>1.9097302111590961</v>
      </c>
      <c r="L33" s="8">
        <v>-2.6666548312003235</v>
      </c>
      <c r="M33" s="8">
        <v>-0.99063175298460704</v>
      </c>
      <c r="N33" s="8">
        <v>-2.4748316802878456</v>
      </c>
    </row>
    <row r="38" spans="1:15" x14ac:dyDescent="0.2">
      <c r="N38">
        <v>7.1956000000000006E-2</v>
      </c>
    </row>
    <row r="39" spans="1:15" x14ac:dyDescent="0.2">
      <c r="N39" t="s">
        <v>94</v>
      </c>
      <c r="O39">
        <v>1.4522E-2</v>
      </c>
    </row>
    <row r="40" spans="1:15" x14ac:dyDescent="0.2">
      <c r="N40" t="s">
        <v>95</v>
      </c>
      <c r="O40">
        <v>2.9848E-2</v>
      </c>
    </row>
    <row r="41" spans="1:15" x14ac:dyDescent="0.2">
      <c r="N41" t="s">
        <v>96</v>
      </c>
      <c r="O41">
        <v>1.021E-2</v>
      </c>
    </row>
    <row r="42" spans="1:15" x14ac:dyDescent="0.2">
      <c r="N42" t="s">
        <v>97</v>
      </c>
      <c r="O42">
        <v>0.12093</v>
      </c>
    </row>
    <row r="43" spans="1:15" x14ac:dyDescent="0.2">
      <c r="N43" t="s">
        <v>98</v>
      </c>
      <c r="O43">
        <v>4.7287999999999997E-2</v>
      </c>
    </row>
    <row r="44" spans="1:15" x14ac:dyDescent="0.2">
      <c r="N44" t="s">
        <v>99</v>
      </c>
      <c r="O44">
        <v>0.124157</v>
      </c>
    </row>
    <row r="45" spans="1:15" x14ac:dyDescent="0.2">
      <c r="N45" t="s">
        <v>100</v>
      </c>
      <c r="O45">
        <v>1.0130999999999999E-2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B829-F779-8443-916B-BFAF11E6047A}">
  <dimension ref="A1:R201"/>
  <sheetViews>
    <sheetView workbookViewId="0">
      <pane xSplit="2" topLeftCell="C1" activePane="topRight" state="frozen"/>
      <selection pane="topRight" activeCell="N3" sqref="N3"/>
    </sheetView>
  </sheetViews>
  <sheetFormatPr baseColWidth="10" defaultColWidth="8.83203125" defaultRowHeight="15" x14ac:dyDescent="0.2"/>
  <cols>
    <col min="2" max="2" width="8.83203125" style="6"/>
    <col min="3" max="3" width="13.83203125" bestFit="1" customWidth="1"/>
    <col min="4" max="4" width="15.6640625" bestFit="1" customWidth="1"/>
    <col min="5" max="5" width="12.6640625" bestFit="1" customWidth="1"/>
    <col min="6" max="6" width="14.1640625" bestFit="1" customWidth="1"/>
    <col min="8" max="8" width="12.6640625" bestFit="1" customWidth="1"/>
    <col min="9" max="10" width="11" bestFit="1" customWidth="1"/>
    <col min="13" max="13" width="8.83203125" style="10"/>
  </cols>
  <sheetData>
    <row r="1" spans="1:14" ht="16" thickBot="1" x14ac:dyDescent="0.25">
      <c r="A1" t="s">
        <v>44</v>
      </c>
      <c r="B1" s="1" t="s">
        <v>23</v>
      </c>
      <c r="C1" s="2" t="s">
        <v>24</v>
      </c>
      <c r="D1" s="2" t="s">
        <v>31</v>
      </c>
      <c r="E1" s="2" t="s">
        <v>30</v>
      </c>
      <c r="F1" s="2" t="s">
        <v>34</v>
      </c>
      <c r="G1" s="2" t="s">
        <v>25</v>
      </c>
      <c r="H1" s="2" t="s">
        <v>33</v>
      </c>
      <c r="I1" s="2" t="s">
        <v>36</v>
      </c>
      <c r="J1" s="2" t="s">
        <v>26</v>
      </c>
      <c r="K1" s="2" t="s">
        <v>27</v>
      </c>
      <c r="L1" s="2" t="s">
        <v>35</v>
      </c>
      <c r="M1" s="29" t="s">
        <v>40</v>
      </c>
      <c r="N1" t="s">
        <v>69</v>
      </c>
    </row>
    <row r="2" spans="1:14" x14ac:dyDescent="0.2">
      <c r="A2" s="26">
        <v>1</v>
      </c>
      <c r="B2" s="4">
        <f>Sheet1!B2</f>
        <v>1927</v>
      </c>
      <c r="C2" s="5" t="s">
        <v>16</v>
      </c>
      <c r="D2" s="5">
        <v>0.28199117065002199</v>
      </c>
      <c r="E2" s="5">
        <v>0.37353791975851802</v>
      </c>
      <c r="F2" s="5">
        <v>-1.3506501825635699</v>
      </c>
      <c r="G2" s="5">
        <v>4.0868555503947901</v>
      </c>
      <c r="H2" s="5">
        <v>11.9874687574896</v>
      </c>
      <c r="I2" s="5">
        <v>0.230647024841132</v>
      </c>
      <c r="J2" s="5">
        <v>-7.2862341950250098E-2</v>
      </c>
      <c r="K2" s="5">
        <v>85.706110082477593</v>
      </c>
      <c r="L2" s="5">
        <v>4.1054954931141001</v>
      </c>
      <c r="M2" s="9">
        <v>107.074193054918</v>
      </c>
      <c r="N2">
        <v>0.5</v>
      </c>
    </row>
    <row r="3" spans="1:14" x14ac:dyDescent="0.2">
      <c r="A3" s="27">
        <v>1</v>
      </c>
      <c r="B3" s="6">
        <f>B2+1</f>
        <v>1928</v>
      </c>
      <c r="C3" t="s">
        <v>16</v>
      </c>
      <c r="D3">
        <v>0.71689754909422998</v>
      </c>
      <c r="E3">
        <v>-2.5589234058608898</v>
      </c>
      <c r="F3">
        <v>-0.39971814746012702</v>
      </c>
      <c r="G3">
        <v>4.0350263653998502</v>
      </c>
      <c r="H3">
        <v>12.066901770123501</v>
      </c>
      <c r="I3">
        <v>6.4975207009435696</v>
      </c>
      <c r="J3">
        <v>-0.24342475518703499</v>
      </c>
      <c r="K3">
        <v>94.664197946473607</v>
      </c>
      <c r="L3">
        <v>9.4221670058946501</v>
      </c>
      <c r="M3" s="10">
        <v>107.154964050787</v>
      </c>
      <c r="N3">
        <f>K3/K2-1</f>
        <v>0.10452099454024188</v>
      </c>
    </row>
    <row r="4" spans="1:14" x14ac:dyDescent="0.2">
      <c r="A4" s="27">
        <v>1</v>
      </c>
      <c r="B4" s="6">
        <f t="shared" ref="B4:B11" si="0">B3+1</f>
        <v>1929</v>
      </c>
      <c r="C4" t="s">
        <v>16</v>
      </c>
      <c r="D4">
        <v>0.73836200334906299</v>
      </c>
      <c r="E4">
        <v>-0.45126399195069999</v>
      </c>
      <c r="F4">
        <v>-1.8073794119531099</v>
      </c>
      <c r="G4">
        <v>5.4156717029589299</v>
      </c>
      <c r="H4">
        <v>12.286369705892399</v>
      </c>
      <c r="I4">
        <v>2.5388744463701101</v>
      </c>
      <c r="J4">
        <v>-3.8194574719543697E-2</v>
      </c>
      <c r="K4">
        <v>99.622959097794904</v>
      </c>
      <c r="L4">
        <v>7.1643625598054497</v>
      </c>
      <c r="M4" s="10">
        <v>105.82591402784099</v>
      </c>
      <c r="N4">
        <f t="shared" ref="N4:N67" si="1">K4/K3-1</f>
        <v>5.2382645803698225E-2</v>
      </c>
    </row>
    <row r="5" spans="1:14" x14ac:dyDescent="0.2">
      <c r="A5" s="27">
        <v>1</v>
      </c>
      <c r="B5" s="6">
        <f t="shared" si="0"/>
        <v>1930</v>
      </c>
      <c r="C5" t="s">
        <v>16</v>
      </c>
      <c r="D5">
        <v>0.26495661440097401</v>
      </c>
      <c r="E5">
        <v>0.236574015847061</v>
      </c>
      <c r="F5">
        <v>-1.28755364806867</v>
      </c>
      <c r="G5">
        <v>2.1033851534111001</v>
      </c>
      <c r="H5">
        <v>11.6440579313178</v>
      </c>
      <c r="I5">
        <v>0.75568072405160702</v>
      </c>
      <c r="J5">
        <v>-2.2639102540051699</v>
      </c>
      <c r="K5">
        <v>85.347023508949107</v>
      </c>
      <c r="L5">
        <v>8.8740715286405205</v>
      </c>
      <c r="M5" s="10">
        <v>105.82591402784099</v>
      </c>
      <c r="N5">
        <f t="shared" si="1"/>
        <v>-0.14329965419750101</v>
      </c>
    </row>
    <row r="6" spans="1:14" x14ac:dyDescent="0.2">
      <c r="A6" s="27">
        <v>1</v>
      </c>
      <c r="B6" s="6">
        <f t="shared" si="0"/>
        <v>1931</v>
      </c>
      <c r="C6" t="s">
        <v>16</v>
      </c>
      <c r="D6">
        <v>-1.7358958745623301</v>
      </c>
      <c r="E6">
        <v>-3.4323984404477401</v>
      </c>
      <c r="F6">
        <v>2.6683108064826002</v>
      </c>
      <c r="G6">
        <v>4.5810496980956801</v>
      </c>
      <c r="H6">
        <v>12.0754613620022</v>
      </c>
      <c r="I6">
        <v>-3.7844454072790299</v>
      </c>
      <c r="J6">
        <v>-2.1523280681349202</v>
      </c>
      <c r="K6">
        <v>62.4462772821634</v>
      </c>
      <c r="L6">
        <v>11.496788348180001</v>
      </c>
      <c r="M6" s="10">
        <v>105.90178981184</v>
      </c>
      <c r="N6">
        <f t="shared" si="1"/>
        <v>-0.26832507198548572</v>
      </c>
    </row>
    <row r="7" spans="1:14" x14ac:dyDescent="0.2">
      <c r="A7" s="27">
        <v>1</v>
      </c>
      <c r="B7" s="6">
        <f t="shared" si="0"/>
        <v>1932</v>
      </c>
      <c r="C7" t="s">
        <v>16</v>
      </c>
      <c r="D7">
        <v>-2.8903638301111201</v>
      </c>
      <c r="E7">
        <v>-1.2077726072192201</v>
      </c>
      <c r="F7">
        <v>4.1531612324642797</v>
      </c>
      <c r="G7">
        <v>0.56457473839512495</v>
      </c>
      <c r="H7">
        <v>11.5249084123668</v>
      </c>
      <c r="I7">
        <v>-5.3918977469670697</v>
      </c>
      <c r="J7">
        <v>1.1567178178816599</v>
      </c>
      <c r="K7">
        <v>40.6452336868091</v>
      </c>
      <c r="L7">
        <v>-10.3746927123258</v>
      </c>
      <c r="M7" s="10">
        <v>128.48829738412101</v>
      </c>
      <c r="N7">
        <f t="shared" si="1"/>
        <v>-0.34911678556667713</v>
      </c>
    </row>
    <row r="8" spans="1:14" x14ac:dyDescent="0.2">
      <c r="A8" s="27">
        <v>1</v>
      </c>
      <c r="B8" s="6">
        <f t="shared" si="0"/>
        <v>1933</v>
      </c>
      <c r="C8" t="s">
        <v>16</v>
      </c>
      <c r="D8">
        <v>-3.0129852336733101</v>
      </c>
      <c r="E8">
        <v>-3.2369513268771199</v>
      </c>
      <c r="F8">
        <v>3.39312023573122</v>
      </c>
      <c r="G8">
        <v>9.1035764050161505E-2</v>
      </c>
      <c r="H8">
        <v>11.785804772828399</v>
      </c>
      <c r="I8">
        <v>0.60201232428268903</v>
      </c>
      <c r="J8">
        <v>-2.5143886241698801</v>
      </c>
      <c r="K8">
        <v>65.864332603938706</v>
      </c>
      <c r="L8">
        <v>-15.595411170733</v>
      </c>
      <c r="M8" s="10">
        <v>140.508490133088</v>
      </c>
      <c r="N8">
        <f t="shared" si="1"/>
        <v>0.62046878882416534</v>
      </c>
    </row>
    <row r="9" spans="1:14" x14ac:dyDescent="0.2">
      <c r="A9" s="27">
        <v>1</v>
      </c>
      <c r="B9" s="6">
        <f t="shared" si="0"/>
        <v>1934</v>
      </c>
      <c r="C9" t="s">
        <v>16</v>
      </c>
      <c r="D9">
        <v>-1.09196224691733</v>
      </c>
      <c r="E9">
        <v>-0.68029178719658001</v>
      </c>
      <c r="F9">
        <v>-0.16174492345140801</v>
      </c>
      <c r="G9">
        <v>0.85183464932652098</v>
      </c>
      <c r="H9">
        <v>13.4751258260006</v>
      </c>
      <c r="I9">
        <v>7.2357019064124799</v>
      </c>
      <c r="J9">
        <v>-2.3576332870596102</v>
      </c>
      <c r="K9">
        <v>85.308870560511593</v>
      </c>
      <c r="L9">
        <v>3.4440009516005499</v>
      </c>
      <c r="M9" s="10">
        <v>153.24093620926999</v>
      </c>
      <c r="N9">
        <f t="shared" si="1"/>
        <v>0.29522105801175447</v>
      </c>
    </row>
    <row r="10" spans="1:14" x14ac:dyDescent="0.2">
      <c r="A10" s="27">
        <v>1</v>
      </c>
      <c r="B10" s="6">
        <f>B9+1</f>
        <v>1935</v>
      </c>
      <c r="C10" t="s">
        <v>16</v>
      </c>
      <c r="D10">
        <v>-0.51255898919165699</v>
      </c>
      <c r="E10">
        <v>-0.33014715130172601</v>
      </c>
      <c r="F10">
        <v>-5.11594388572159</v>
      </c>
      <c r="G10">
        <v>0.20827299800551899</v>
      </c>
      <c r="H10">
        <v>12.7872770226315</v>
      </c>
      <c r="I10">
        <v>4.8211534758328503</v>
      </c>
      <c r="J10">
        <v>-2.4581848197200999</v>
      </c>
      <c r="K10">
        <v>86.692476014139004</v>
      </c>
      <c r="L10">
        <v>-7.5731542914539304E-2</v>
      </c>
      <c r="M10" s="10">
        <v>171.620009178522</v>
      </c>
      <c r="N10">
        <f t="shared" si="1"/>
        <v>1.62187758967689E-2</v>
      </c>
    </row>
    <row r="11" spans="1:14" ht="16" thickBot="1" x14ac:dyDescent="0.25">
      <c r="A11" s="28">
        <v>1</v>
      </c>
      <c r="B11" s="7">
        <f t="shared" si="0"/>
        <v>1936</v>
      </c>
      <c r="C11" s="8" t="s">
        <v>16</v>
      </c>
      <c r="D11" s="8">
        <v>-1.51773481504031E-2</v>
      </c>
      <c r="E11" s="8">
        <v>0.87385234561689895</v>
      </c>
      <c r="F11" s="8">
        <v>-6.4163090128755398</v>
      </c>
      <c r="G11" s="8">
        <v>0.49323788967514398</v>
      </c>
      <c r="H11" s="8">
        <v>12.641079193344</v>
      </c>
      <c r="I11" s="8">
        <v>3.8526381667629499</v>
      </c>
      <c r="J11" s="8">
        <v>-2.4396503207893998</v>
      </c>
      <c r="K11" s="8">
        <v>95.576502272344698</v>
      </c>
      <c r="L11" s="8">
        <v>2.27221062091935</v>
      </c>
      <c r="M11" s="11">
        <v>178.69848554382699</v>
      </c>
      <c r="N11">
        <f t="shared" si="1"/>
        <v>0.10247747747747749</v>
      </c>
    </row>
    <row r="12" spans="1:14" x14ac:dyDescent="0.2">
      <c r="A12">
        <v>2</v>
      </c>
      <c r="B12" s="6">
        <v>1926</v>
      </c>
      <c r="C12" t="s">
        <v>29</v>
      </c>
      <c r="D12" cm="1">
        <f t="array" ref="D12:F12">D13:F13</f>
        <v>0.8</v>
      </c>
      <c r="E12">
        <v>2.5</v>
      </c>
      <c r="F12">
        <v>0.7</v>
      </c>
      <c r="G12">
        <v>3.4284084185613999</v>
      </c>
      <c r="H12">
        <v>6.8628771236562596</v>
      </c>
      <c r="I12">
        <v>6.38931749677048</v>
      </c>
      <c r="J12">
        <v>-0.18629352450776401</v>
      </c>
      <c r="K12">
        <v>44.346242508068201</v>
      </c>
      <c r="L12">
        <v>8.7125748502994007</v>
      </c>
      <c r="M12" s="10">
        <f>M13</f>
        <v>107.074193054918</v>
      </c>
    </row>
    <row r="13" spans="1:14" x14ac:dyDescent="0.2">
      <c r="A13">
        <v>2</v>
      </c>
      <c r="B13" s="6">
        <f>B12+1</f>
        <v>1927</v>
      </c>
      <c r="C13" t="s">
        <v>29</v>
      </c>
      <c r="D13">
        <v>0.8</v>
      </c>
      <c r="E13">
        <v>2.5</v>
      </c>
      <c r="F13">
        <v>0.7</v>
      </c>
      <c r="G13">
        <v>2.7180289071084398</v>
      </c>
      <c r="H13">
        <v>6.6657914234833804</v>
      </c>
      <c r="I13">
        <v>1.22344624659107</v>
      </c>
      <c r="J13">
        <v>0.17969313254602201</v>
      </c>
      <c r="K13">
        <v>55.177040110649997</v>
      </c>
      <c r="L13">
        <v>2.6497005988023901</v>
      </c>
      <c r="M13" s="10" cm="1">
        <f t="array" ref="M13:M22">M2:M11</f>
        <v>107.074193054918</v>
      </c>
      <c r="N13">
        <f t="shared" si="1"/>
        <v>0.24423258860344887</v>
      </c>
    </row>
    <row r="14" spans="1:14" x14ac:dyDescent="0.2">
      <c r="A14">
        <v>2</v>
      </c>
      <c r="B14" s="6">
        <f t="shared" ref="B14:B22" si="2">B13+1</f>
        <v>1928</v>
      </c>
      <c r="C14" t="s">
        <v>29</v>
      </c>
      <c r="D14">
        <v>1.05</v>
      </c>
      <c r="E14">
        <v>2</v>
      </c>
      <c r="F14">
        <v>2.2000000000000002</v>
      </c>
      <c r="G14">
        <v>4.5280830022821403</v>
      </c>
      <c r="H14">
        <v>6.5768025893332904</v>
      </c>
      <c r="I14">
        <v>1.02456222190325</v>
      </c>
      <c r="J14">
        <v>1.0362006112978399</v>
      </c>
      <c r="K14">
        <v>73.222452743199597</v>
      </c>
      <c r="L14">
        <v>3.4580838323353298</v>
      </c>
      <c r="M14" s="10">
        <v>107.154964050787</v>
      </c>
      <c r="N14">
        <f t="shared" si="1"/>
        <v>0.32704568052874894</v>
      </c>
    </row>
    <row r="15" spans="1:14" x14ac:dyDescent="0.2">
      <c r="A15">
        <v>2</v>
      </c>
      <c r="B15" s="6">
        <f t="shared" si="2"/>
        <v>1929</v>
      </c>
      <c r="C15" t="s">
        <v>29</v>
      </c>
      <c r="D15">
        <v>1.3</v>
      </c>
      <c r="E15">
        <v>3.8</v>
      </c>
      <c r="F15">
        <v>2.35</v>
      </c>
      <c r="G15">
        <v>3.16780069309441</v>
      </c>
      <c r="H15">
        <v>6.4366770222667</v>
      </c>
      <c r="I15">
        <v>6.4649418688100999</v>
      </c>
      <c r="J15">
        <v>2.1251434315945499</v>
      </c>
      <c r="K15">
        <v>108.775933609958</v>
      </c>
      <c r="L15">
        <v>0.76347305389222697</v>
      </c>
      <c r="M15" s="10">
        <v>105.82591402784099</v>
      </c>
      <c r="N15">
        <f t="shared" si="1"/>
        <v>0.4855543557308708</v>
      </c>
    </row>
    <row r="16" spans="1:14" x14ac:dyDescent="0.2">
      <c r="A16">
        <v>2</v>
      </c>
      <c r="B16" s="6">
        <f t="shared" si="2"/>
        <v>1930</v>
      </c>
      <c r="C16" t="s">
        <v>29</v>
      </c>
      <c r="D16">
        <v>0.1</v>
      </c>
      <c r="E16">
        <v>1.27</v>
      </c>
      <c r="F16">
        <v>4.6500000000000004</v>
      </c>
      <c r="G16">
        <v>1.66139802214521</v>
      </c>
      <c r="H16">
        <v>6.4688877045664297</v>
      </c>
      <c r="I16">
        <v>-6.1532941007607302</v>
      </c>
      <c r="J16">
        <v>5.4610627646502097E-2</v>
      </c>
      <c r="K16">
        <v>76.377132319040996</v>
      </c>
      <c r="L16">
        <v>3.9970059880239499</v>
      </c>
      <c r="M16" s="10">
        <v>105.82591402784099</v>
      </c>
      <c r="N16">
        <f t="shared" si="1"/>
        <v>-0.29784898383028935</v>
      </c>
    </row>
    <row r="17" spans="1:18" x14ac:dyDescent="0.2">
      <c r="A17">
        <v>2</v>
      </c>
      <c r="B17" s="6">
        <f t="shared" si="2"/>
        <v>1931</v>
      </c>
      <c r="C17" t="s">
        <v>29</v>
      </c>
      <c r="D17">
        <v>-2.48</v>
      </c>
      <c r="E17">
        <v>-6.7</v>
      </c>
      <c r="F17">
        <v>13</v>
      </c>
      <c r="G17">
        <v>1.5402544163637899</v>
      </c>
      <c r="H17">
        <v>7.4710584809764597</v>
      </c>
      <c r="I17">
        <v>-7.0196103057269896</v>
      </c>
      <c r="J17">
        <v>-1.6258694747103399</v>
      </c>
      <c r="K17">
        <v>49.650299677270603</v>
      </c>
      <c r="L17">
        <v>15.0449101796407</v>
      </c>
      <c r="M17" s="10">
        <v>105.90178981184</v>
      </c>
      <c r="N17">
        <f t="shared" si="1"/>
        <v>-0.34993239246175956</v>
      </c>
    </row>
    <row r="18" spans="1:18" x14ac:dyDescent="0.2">
      <c r="A18">
        <v>2</v>
      </c>
      <c r="B18" s="6">
        <f t="shared" si="2"/>
        <v>1932</v>
      </c>
      <c r="C18" t="s">
        <v>29</v>
      </c>
      <c r="D18">
        <v>-3.4</v>
      </c>
      <c r="E18">
        <v>-8.9</v>
      </c>
      <c r="F18">
        <v>27.8</v>
      </c>
      <c r="G18">
        <v>3.4422280449666297E-2</v>
      </c>
      <c r="H18">
        <v>9.1642120861551195</v>
      </c>
      <c r="I18">
        <v>-11.89805511698</v>
      </c>
      <c r="J18">
        <v>-2.1910864245169002</v>
      </c>
      <c r="K18">
        <v>28.072614107883702</v>
      </c>
      <c r="L18">
        <v>23.802395209580801</v>
      </c>
      <c r="M18" s="10">
        <v>128.48829738412101</v>
      </c>
      <c r="N18">
        <f t="shared" si="1"/>
        <v>-0.43459325944944782</v>
      </c>
    </row>
    <row r="19" spans="1:18" x14ac:dyDescent="0.2">
      <c r="A19">
        <v>2</v>
      </c>
      <c r="B19" s="6">
        <f t="shared" si="2"/>
        <v>1933</v>
      </c>
      <c r="C19" t="s">
        <v>29</v>
      </c>
      <c r="D19">
        <v>-3</v>
      </c>
      <c r="E19">
        <v>-6.2</v>
      </c>
      <c r="F19">
        <v>30</v>
      </c>
      <c r="G19">
        <v>0.121967711943201</v>
      </c>
      <c r="H19">
        <v>9.7398187986637303</v>
      </c>
      <c r="I19">
        <v>-2.8285129898090902</v>
      </c>
      <c r="J19">
        <v>-3.3231044182008298</v>
      </c>
      <c r="K19">
        <v>38.395112955278897</v>
      </c>
      <c r="L19">
        <v>-3.4131736526946002</v>
      </c>
      <c r="M19" s="10">
        <v>140.508490133088</v>
      </c>
      <c r="N19">
        <f t="shared" si="1"/>
        <v>0.36770707593263641</v>
      </c>
    </row>
    <row r="20" spans="1:18" x14ac:dyDescent="0.2">
      <c r="A20">
        <v>2</v>
      </c>
      <c r="B20" s="6">
        <f t="shared" si="2"/>
        <v>1934</v>
      </c>
      <c r="C20" t="s">
        <v>29</v>
      </c>
      <c r="D20">
        <v>-2.1</v>
      </c>
      <c r="E20">
        <v>6.2</v>
      </c>
      <c r="F20">
        <v>13.1</v>
      </c>
      <c r="G20">
        <v>0.14675428957822501</v>
      </c>
      <c r="H20">
        <v>11.1685536389751</v>
      </c>
      <c r="I20">
        <v>9.2035668149849297</v>
      </c>
      <c r="J20">
        <v>-3.10303719574731</v>
      </c>
      <c r="K20">
        <v>34.314200092208303</v>
      </c>
      <c r="L20">
        <v>-9.4760479041916099</v>
      </c>
      <c r="M20" s="10">
        <v>153.24093620926999</v>
      </c>
      <c r="N20">
        <f t="shared" si="1"/>
        <v>-0.10628729931915759</v>
      </c>
    </row>
    <row r="21" spans="1:18" x14ac:dyDescent="0.2">
      <c r="A21">
        <v>2</v>
      </c>
      <c r="B21" s="6">
        <f t="shared" si="2"/>
        <v>1935</v>
      </c>
      <c r="C21" t="s">
        <v>29</v>
      </c>
      <c r="D21">
        <v>-1.4</v>
      </c>
      <c r="E21">
        <v>5.9</v>
      </c>
      <c r="F21">
        <v>-8.1999999999999993</v>
      </c>
      <c r="G21">
        <v>2.44696137266497E-2</v>
      </c>
      <c r="H21">
        <v>11.7441603514837</v>
      </c>
      <c r="I21">
        <v>9.5792665422707</v>
      </c>
      <c r="J21">
        <v>-3.02888940789407</v>
      </c>
      <c r="K21">
        <v>43.618487782388101</v>
      </c>
      <c r="L21">
        <v>-2.4700598802395102</v>
      </c>
      <c r="M21" s="10">
        <v>171.620009178522</v>
      </c>
      <c r="N21">
        <f t="shared" si="1"/>
        <v>0.2711497766282629</v>
      </c>
    </row>
    <row r="22" spans="1:18" ht="16" thickBot="1" x14ac:dyDescent="0.25">
      <c r="A22">
        <v>2</v>
      </c>
      <c r="B22" s="6">
        <f t="shared" si="2"/>
        <v>1936</v>
      </c>
      <c r="C22" t="s">
        <v>29</v>
      </c>
      <c r="D22">
        <v>-0.18</v>
      </c>
      <c r="E22">
        <v>5.8</v>
      </c>
      <c r="F22">
        <v>-19.399999999999999</v>
      </c>
      <c r="G22">
        <v>0.13337841264474701</v>
      </c>
      <c r="H22">
        <v>12.685003444645201</v>
      </c>
      <c r="I22">
        <v>12.343458446964201</v>
      </c>
      <c r="J22">
        <v>-2.7934077315976</v>
      </c>
      <c r="K22">
        <v>53.416551406177902</v>
      </c>
      <c r="L22">
        <v>-6.6467065868263298</v>
      </c>
      <c r="M22" s="10">
        <v>178.69848554382699</v>
      </c>
      <c r="N22">
        <f t="shared" si="1"/>
        <v>0.22463097924605213</v>
      </c>
    </row>
    <row r="23" spans="1:18" x14ac:dyDescent="0.2">
      <c r="A23" s="26">
        <v>3</v>
      </c>
      <c r="B23" s="4">
        <v>1925</v>
      </c>
      <c r="C23" s="5" t="s">
        <v>0</v>
      </c>
      <c r="D23" s="5">
        <v>-0.63710639860460805</v>
      </c>
      <c r="E23" s="5">
        <v>-1.3471613896480501</v>
      </c>
      <c r="F23" s="5">
        <v>4.5235065606696603</v>
      </c>
      <c r="G23" s="5">
        <v>5.8362351318738099</v>
      </c>
      <c r="H23" s="5">
        <v>0.19750707076942675</v>
      </c>
      <c r="I23" s="5">
        <v>3.0641391265447502</v>
      </c>
      <c r="J23" s="5">
        <v>1.1144459489716401</v>
      </c>
      <c r="K23" s="5">
        <v>68.1991487104047</v>
      </c>
      <c r="L23" s="5">
        <v>5.6039790452645803</v>
      </c>
      <c r="M23" s="9">
        <v>125.482835096798</v>
      </c>
      <c r="R23" s="30"/>
    </row>
    <row r="24" spans="1:18" x14ac:dyDescent="0.2">
      <c r="A24" s="27">
        <v>3</v>
      </c>
      <c r="B24" s="6">
        <f>B23+1</f>
        <v>1926</v>
      </c>
      <c r="C24" t="s">
        <v>0</v>
      </c>
      <c r="D24">
        <v>0.27741439456531503</v>
      </c>
      <c r="E24">
        <v>-9.0513300951176205</v>
      </c>
      <c r="F24">
        <v>3.9543699712557299</v>
      </c>
      <c r="G24">
        <v>6.5147388381313496</v>
      </c>
      <c r="H24">
        <v>0.19544149578824754</v>
      </c>
      <c r="I24">
        <v>2.6749426829950198</v>
      </c>
      <c r="J24">
        <v>1.0099583115650701</v>
      </c>
      <c r="K24">
        <v>92.733652466448802</v>
      </c>
      <c r="L24">
        <v>11.061628112307901</v>
      </c>
      <c r="M24" s="10">
        <v>112.489026475072</v>
      </c>
      <c r="N24">
        <f t="shared" si="1"/>
        <v>0.35974794729807291</v>
      </c>
      <c r="R24" s="30"/>
    </row>
    <row r="25" spans="1:18" x14ac:dyDescent="0.2">
      <c r="A25" s="27">
        <v>3</v>
      </c>
      <c r="B25" s="6">
        <f t="shared" ref="B25:B34" si="3">B24+1</f>
        <v>1927</v>
      </c>
      <c r="C25" t="s">
        <v>0</v>
      </c>
      <c r="D25">
        <v>0.98421004314697402</v>
      </c>
      <c r="E25">
        <v>-5.5497607141578396</v>
      </c>
      <c r="F25">
        <v>3.4443335297725701</v>
      </c>
      <c r="G25">
        <v>5.3245992070332697</v>
      </c>
      <c r="H25">
        <v>0.1891576958245636</v>
      </c>
      <c r="I25">
        <v>1.58675837387463</v>
      </c>
      <c r="J25">
        <v>0.369065262125367</v>
      </c>
      <c r="K25">
        <v>95.986398659158496</v>
      </c>
      <c r="L25">
        <v>13.2974277473659</v>
      </c>
      <c r="M25" s="10">
        <v>102.24437462458999</v>
      </c>
      <c r="N25">
        <f t="shared" si="1"/>
        <v>3.507622212860162E-2</v>
      </c>
      <c r="R25" s="30"/>
    </row>
    <row r="26" spans="1:18" x14ac:dyDescent="0.2">
      <c r="A26" s="27">
        <v>3</v>
      </c>
      <c r="B26" s="6">
        <f t="shared" si="3"/>
        <v>1928</v>
      </c>
      <c r="C26" t="s">
        <v>0</v>
      </c>
      <c r="D26">
        <v>0.48955751399981601</v>
      </c>
      <c r="E26">
        <v>-4.7742597653685896</v>
      </c>
      <c r="F26">
        <v>4.0489735047566402</v>
      </c>
      <c r="G26">
        <v>2.2768488191691101</v>
      </c>
      <c r="H26">
        <v>0.16951051096592332</v>
      </c>
      <c r="I26">
        <v>5.0481462841804996</v>
      </c>
      <c r="J26">
        <v>-2.9860540990073599</v>
      </c>
      <c r="K26">
        <v>86.592791771671102</v>
      </c>
      <c r="L26">
        <v>8.7514273941962397</v>
      </c>
      <c r="M26" s="10">
        <v>106.32768100540601</v>
      </c>
      <c r="N26">
        <f t="shared" si="1"/>
        <v>-9.7863937169301307E-2</v>
      </c>
      <c r="R26" s="30"/>
    </row>
    <row r="27" spans="1:18" x14ac:dyDescent="0.2">
      <c r="A27" s="27">
        <v>3</v>
      </c>
      <c r="B27" s="6">
        <f t="shared" si="3"/>
        <v>1929</v>
      </c>
      <c r="C27" t="s">
        <v>0</v>
      </c>
      <c r="D27">
        <v>0.50747039383089998</v>
      </c>
      <c r="E27">
        <v>1.9012781802341501</v>
      </c>
      <c r="F27">
        <v>4.4633239924471102</v>
      </c>
      <c r="G27">
        <v>2.5512842613342501</v>
      </c>
      <c r="H27">
        <v>0.16437180721761183</v>
      </c>
      <c r="I27">
        <v>5.3165576245596302</v>
      </c>
      <c r="J27">
        <v>-2.7331513684681799</v>
      </c>
      <c r="K27">
        <v>82.581843174610796</v>
      </c>
      <c r="L27">
        <v>6.9149449643886998</v>
      </c>
      <c r="M27" s="10">
        <v>105.308875849004</v>
      </c>
      <c r="N27">
        <f t="shared" si="1"/>
        <v>-4.6319659119392065E-2</v>
      </c>
      <c r="R27" s="30"/>
    </row>
    <row r="28" spans="1:18" x14ac:dyDescent="0.2">
      <c r="A28" s="27">
        <v>3</v>
      </c>
      <c r="B28" s="6">
        <f t="shared" si="3"/>
        <v>1930</v>
      </c>
      <c r="C28" t="s">
        <v>0</v>
      </c>
      <c r="D28">
        <v>-0.19105159276599601</v>
      </c>
      <c r="E28">
        <v>-2.1122793617453</v>
      </c>
      <c r="F28">
        <v>5.7992471165526096</v>
      </c>
      <c r="G28">
        <v>2.8829512153076999</v>
      </c>
      <c r="H28">
        <v>0.17380328812644494</v>
      </c>
      <c r="I28">
        <v>0.475088072471052</v>
      </c>
      <c r="J28">
        <v>-2.4454905054856</v>
      </c>
      <c r="K28">
        <v>68.202042612711395</v>
      </c>
      <c r="L28">
        <v>10.3392783565836</v>
      </c>
      <c r="M28" s="10">
        <v>109.39218222981999</v>
      </c>
      <c r="N28">
        <f t="shared" si="1"/>
        <v>-0.17412787132269247</v>
      </c>
      <c r="R28" s="30"/>
    </row>
    <row r="29" spans="1:18" x14ac:dyDescent="0.2">
      <c r="A29" s="27">
        <v>3</v>
      </c>
      <c r="B29" s="6">
        <f t="shared" si="3"/>
        <v>1931</v>
      </c>
      <c r="C29" t="s">
        <v>0</v>
      </c>
      <c r="D29">
        <v>-1.88859818231892</v>
      </c>
      <c r="E29">
        <v>-15.9663925719946</v>
      </c>
      <c r="F29">
        <v>10.0717764922366</v>
      </c>
      <c r="G29">
        <v>2.0355111187726198</v>
      </c>
      <c r="H29">
        <v>0.18496436974789915</v>
      </c>
      <c r="I29">
        <v>-3.9872504613319899</v>
      </c>
      <c r="J29">
        <v>-2.51415381006706</v>
      </c>
      <c r="K29">
        <v>60.593973448446299</v>
      </c>
      <c r="L29">
        <v>3.17982223791864</v>
      </c>
      <c r="M29" s="10">
        <v>99.107101603289806</v>
      </c>
      <c r="N29">
        <f t="shared" si="1"/>
        <v>-0.11155192532088642</v>
      </c>
      <c r="R29" s="30"/>
    </row>
    <row r="30" spans="1:18" x14ac:dyDescent="0.2">
      <c r="A30" s="27">
        <v>3</v>
      </c>
      <c r="B30" s="6">
        <f t="shared" si="3"/>
        <v>1932</v>
      </c>
      <c r="C30" t="s">
        <v>0</v>
      </c>
      <c r="D30">
        <v>-1.35185440190948</v>
      </c>
      <c r="E30">
        <v>-2.5465742144144401</v>
      </c>
      <c r="F30">
        <v>11.0033073953359</v>
      </c>
      <c r="G30">
        <v>6.0410274090674001</v>
      </c>
      <c r="H30">
        <v>0.17804252833434239</v>
      </c>
      <c r="I30">
        <v>4.21607112900519</v>
      </c>
      <c r="J30">
        <v>5.9760531394267902E-2</v>
      </c>
      <c r="K30">
        <v>50.691039754982903</v>
      </c>
      <c r="L30">
        <v>13.9039378421331</v>
      </c>
      <c r="M30" s="10">
        <v>143.06935267754</v>
      </c>
      <c r="N30">
        <f t="shared" si="1"/>
        <v>-0.16343100031043301</v>
      </c>
      <c r="R30" s="30"/>
    </row>
    <row r="31" spans="1:18" x14ac:dyDescent="0.2">
      <c r="A31" s="27">
        <v>3</v>
      </c>
      <c r="B31" s="6">
        <f t="shared" si="3"/>
        <v>1933</v>
      </c>
      <c r="C31" t="s">
        <v>0</v>
      </c>
      <c r="D31">
        <v>1.2409345451207101</v>
      </c>
      <c r="E31">
        <v>5.7999069112434398</v>
      </c>
      <c r="F31">
        <v>8.5501100460630006</v>
      </c>
      <c r="G31">
        <v>3.1415273228753602</v>
      </c>
      <c r="H31">
        <v>0.16883734232380773</v>
      </c>
      <c r="I31">
        <v>9.2398367164345903</v>
      </c>
      <c r="J31">
        <v>-2.1166743077693999</v>
      </c>
      <c r="K31">
        <v>44.014807133469098</v>
      </c>
      <c r="L31">
        <v>-43.374536464771303</v>
      </c>
      <c r="M31" s="10">
        <v>237.22797209259301</v>
      </c>
      <c r="N31">
        <f t="shared" si="1"/>
        <v>-0.13170439300088599</v>
      </c>
      <c r="R31" s="30"/>
    </row>
    <row r="32" spans="1:18" x14ac:dyDescent="0.2">
      <c r="A32" s="27">
        <v>3</v>
      </c>
      <c r="B32" s="6">
        <f t="shared" si="3"/>
        <v>1934</v>
      </c>
      <c r="C32" t="s">
        <v>0</v>
      </c>
      <c r="D32">
        <v>2.9095634811346698</v>
      </c>
      <c r="E32">
        <v>2.7899177715983701</v>
      </c>
      <c r="F32">
        <v>1.7258830745547</v>
      </c>
      <c r="G32">
        <v>2.3988967419410399</v>
      </c>
      <c r="H32">
        <v>0.17189610757199481</v>
      </c>
      <c r="I32">
        <v>5.5301683162780204</v>
      </c>
      <c r="J32">
        <v>-2.2563465577720598</v>
      </c>
      <c r="K32">
        <v>76.248537976438797</v>
      </c>
      <c r="L32">
        <v>-25.643534051444998</v>
      </c>
      <c r="M32" s="10">
        <v>275.691909624358</v>
      </c>
      <c r="N32">
        <f t="shared" si="1"/>
        <v>0.73233834116835195</v>
      </c>
      <c r="R32" s="30"/>
    </row>
    <row r="33" spans="1:18" x14ac:dyDescent="0.2">
      <c r="A33" s="27">
        <v>3</v>
      </c>
      <c r="B33" s="6">
        <f t="shared" si="3"/>
        <v>1935</v>
      </c>
      <c r="C33" t="s">
        <v>0</v>
      </c>
      <c r="D33">
        <v>1.5912397870191799</v>
      </c>
      <c r="E33">
        <v>1.50242866178945</v>
      </c>
      <c r="F33">
        <v>-2.38017006025472</v>
      </c>
      <c r="G33">
        <v>2.28029650060334</v>
      </c>
      <c r="H33">
        <v>0.17015250927887068</v>
      </c>
      <c r="I33">
        <v>2.43784599899345</v>
      </c>
      <c r="J33">
        <v>-2.2188163043362299</v>
      </c>
      <c r="K33">
        <v>64.599134240893207</v>
      </c>
      <c r="L33">
        <v>-27.480016481252498</v>
      </c>
      <c r="M33" s="10">
        <v>285.216929261193</v>
      </c>
      <c r="N33">
        <f t="shared" si="1"/>
        <v>-0.15278199483831834</v>
      </c>
      <c r="R33" s="30"/>
    </row>
    <row r="34" spans="1:18" ht="16" thickBot="1" x14ac:dyDescent="0.25">
      <c r="A34" s="28">
        <v>3</v>
      </c>
      <c r="B34" s="7">
        <f t="shared" si="3"/>
        <v>1936</v>
      </c>
      <c r="C34" s="8" t="s">
        <v>0</v>
      </c>
      <c r="D34" s="8">
        <v>0.72266593225006803</v>
      </c>
      <c r="E34" s="8">
        <v>2.4458474060459898</v>
      </c>
      <c r="F34" s="8">
        <v>-2.5195857938350099</v>
      </c>
      <c r="G34" s="8">
        <v>2.2685743837269401</v>
      </c>
      <c r="H34" s="8">
        <v>0.16585528707461752</v>
      </c>
      <c r="I34" s="8">
        <v>4.6220432813286303</v>
      </c>
      <c r="J34" s="8">
        <v>-2.1458881982279698</v>
      </c>
      <c r="K34" s="8">
        <v>70.081632160900895</v>
      </c>
      <c r="L34" s="8">
        <v>-23.464241568073401</v>
      </c>
      <c r="M34" s="11">
        <v>292.21919327265101</v>
      </c>
      <c r="N34">
        <f t="shared" si="1"/>
        <v>8.4869526262739026E-2</v>
      </c>
      <c r="R34" s="30"/>
    </row>
    <row r="35" spans="1:18" x14ac:dyDescent="0.2">
      <c r="A35">
        <v>4</v>
      </c>
      <c r="B35" s="6">
        <v>1926</v>
      </c>
      <c r="C35" t="s">
        <v>1</v>
      </c>
      <c r="D35">
        <v>1.3571351896777499</v>
      </c>
      <c r="E35">
        <v>23.5761931720284</v>
      </c>
      <c r="F35">
        <v>-36.297961446079903</v>
      </c>
      <c r="G35">
        <v>4.3754940711462398</v>
      </c>
      <c r="H35">
        <v>0.16716506686457591</v>
      </c>
      <c r="I35">
        <v>3.17246003565932</v>
      </c>
      <c r="J35">
        <v>-0.73362861483789299</v>
      </c>
      <c r="K35">
        <v>33.1099595756803</v>
      </c>
      <c r="L35">
        <v>-34.531227217496898</v>
      </c>
      <c r="M35" s="10">
        <v>112.268803945746</v>
      </c>
      <c r="R35" s="30"/>
    </row>
    <row r="36" spans="1:18" x14ac:dyDescent="0.2">
      <c r="A36">
        <v>4</v>
      </c>
      <c r="B36" s="6">
        <f>B35+1</f>
        <v>1927</v>
      </c>
      <c r="C36" t="s">
        <v>1</v>
      </c>
      <c r="D36">
        <v>0.65794671418450401</v>
      </c>
      <c r="E36">
        <v>35.240849681246402</v>
      </c>
      <c r="F36">
        <v>-29.869844593623601</v>
      </c>
      <c r="G36">
        <v>1.9565217391304299</v>
      </c>
      <c r="H36">
        <v>0.17797115712009967</v>
      </c>
      <c r="I36">
        <v>1.63179469986742</v>
      </c>
      <c r="J36">
        <v>1.91540699920171</v>
      </c>
      <c r="K36">
        <v>46.083724463495997</v>
      </c>
      <c r="L36">
        <v>-13.427946537059499</v>
      </c>
      <c r="M36" s="10">
        <v>165.08109646210701</v>
      </c>
      <c r="N36">
        <f t="shared" si="1"/>
        <v>0.39183874139626251</v>
      </c>
      <c r="R36" s="30"/>
    </row>
    <row r="37" spans="1:18" x14ac:dyDescent="0.2">
      <c r="A37">
        <v>4</v>
      </c>
      <c r="B37" s="6">
        <f t="shared" ref="B37:B47" si="4">B36+1</f>
        <v>1928</v>
      </c>
      <c r="C37" t="s">
        <v>1</v>
      </c>
      <c r="D37">
        <v>0.79132226969235098</v>
      </c>
      <c r="E37">
        <v>-16.011273291161</v>
      </c>
      <c r="F37">
        <v>-10.457391554269</v>
      </c>
      <c r="G37">
        <v>2.7747035573122498</v>
      </c>
      <c r="H37">
        <v>0.18419004502258271</v>
      </c>
      <c r="I37">
        <v>3.6556894896450798</v>
      </c>
      <c r="J37">
        <v>-1.4591970746530001</v>
      </c>
      <c r="K37">
        <v>68.664912233104502</v>
      </c>
      <c r="L37">
        <v>-17.681652490886901</v>
      </c>
      <c r="M37" s="10">
        <v>107.01887508299301</v>
      </c>
      <c r="N37">
        <f t="shared" si="1"/>
        <v>0.49000353232073501</v>
      </c>
      <c r="R37" s="30"/>
    </row>
    <row r="38" spans="1:18" x14ac:dyDescent="0.2">
      <c r="A38">
        <v>4</v>
      </c>
      <c r="B38" s="6">
        <f t="shared" si="4"/>
        <v>1929</v>
      </c>
      <c r="C38" t="s">
        <v>1</v>
      </c>
      <c r="D38">
        <v>2.08487730522338</v>
      </c>
      <c r="E38">
        <v>13.770645137470099</v>
      </c>
      <c r="F38">
        <v>-10.8416990002258</v>
      </c>
      <c r="G38">
        <v>3.3794466403161998</v>
      </c>
      <c r="H38">
        <v>0.18906484652533131</v>
      </c>
      <c r="I38">
        <v>8.0088691120220599</v>
      </c>
      <c r="J38">
        <v>-0.91007648134318497</v>
      </c>
      <c r="K38">
        <v>99.922407010499398</v>
      </c>
      <c r="L38">
        <v>-8.4782503037666803</v>
      </c>
      <c r="M38" s="10">
        <v>109.45176894622</v>
      </c>
      <c r="N38">
        <f t="shared" si="1"/>
        <v>0.45521786544023479</v>
      </c>
      <c r="R38" s="30"/>
    </row>
    <row r="39" spans="1:18" x14ac:dyDescent="0.2">
      <c r="A39">
        <v>4</v>
      </c>
      <c r="B39" s="6">
        <f t="shared" si="4"/>
        <v>1930</v>
      </c>
      <c r="C39" t="s">
        <v>1</v>
      </c>
      <c r="D39">
        <v>2.3456922647545002</v>
      </c>
      <c r="E39">
        <v>2.57981145543607</v>
      </c>
      <c r="F39">
        <v>-5.1082917616143897</v>
      </c>
      <c r="G39">
        <v>1.8498023715415</v>
      </c>
      <c r="H39">
        <v>0.21870979559487133</v>
      </c>
      <c r="I39">
        <v>5.6142088660642102</v>
      </c>
      <c r="J39">
        <v>-0.31313573507068698</v>
      </c>
      <c r="K39">
        <v>86.359369489134195</v>
      </c>
      <c r="L39">
        <v>-8.6260024301336298</v>
      </c>
      <c r="M39" s="10">
        <v>109.45176894622</v>
      </c>
      <c r="N39">
        <f t="shared" si="1"/>
        <v>-0.1357356965984623</v>
      </c>
      <c r="R39" s="30"/>
    </row>
    <row r="40" spans="1:18" x14ac:dyDescent="0.2">
      <c r="A40">
        <v>4</v>
      </c>
      <c r="B40" s="6">
        <f t="shared" si="4"/>
        <v>1931</v>
      </c>
      <c r="C40" t="s">
        <v>1</v>
      </c>
      <c r="D40">
        <v>0.49759548294295702</v>
      </c>
      <c r="E40">
        <v>6.0499175425210003</v>
      </c>
      <c r="F40">
        <v>-0.88255219560264198</v>
      </c>
      <c r="G40">
        <v>1.0671936758893199</v>
      </c>
      <c r="H40">
        <v>0.26799246369390883</v>
      </c>
      <c r="I40">
        <v>-2.77167370201611</v>
      </c>
      <c r="J40">
        <v>-1.1047562640022599</v>
      </c>
      <c r="K40">
        <v>70.885265471119595</v>
      </c>
      <c r="L40">
        <v>2.69258809234509</v>
      </c>
      <c r="M40" s="10">
        <v>106.705871194157</v>
      </c>
      <c r="N40">
        <f t="shared" si="1"/>
        <v>-0.17918268868280196</v>
      </c>
      <c r="R40" s="30"/>
    </row>
    <row r="41" spans="1:18" x14ac:dyDescent="0.2">
      <c r="A41">
        <v>4</v>
      </c>
      <c r="B41" s="6">
        <f t="shared" si="4"/>
        <v>1932</v>
      </c>
      <c r="C41" t="s">
        <v>1</v>
      </c>
      <c r="D41">
        <v>-1.04911011399986</v>
      </c>
      <c r="E41">
        <v>-11.945011937873799</v>
      </c>
      <c r="F41">
        <v>9.3426536100675701</v>
      </c>
      <c r="G41">
        <v>0.56916996047430801</v>
      </c>
      <c r="H41">
        <v>0.31259001590483293</v>
      </c>
      <c r="I41">
        <v>-5.0154676094542898</v>
      </c>
      <c r="J41">
        <v>-1.79478793809388</v>
      </c>
      <c r="K41">
        <v>53.483816706910098</v>
      </c>
      <c r="L41">
        <v>8.7893074119076502</v>
      </c>
      <c r="M41" s="10">
        <v>106.705871194157</v>
      </c>
      <c r="N41">
        <f t="shared" si="1"/>
        <v>-0.2454875304275933</v>
      </c>
      <c r="R41" s="30"/>
    </row>
    <row r="42" spans="1:18" x14ac:dyDescent="0.2">
      <c r="A42">
        <v>4</v>
      </c>
      <c r="B42" s="6">
        <f t="shared" si="4"/>
        <v>1933</v>
      </c>
      <c r="C42" t="s">
        <v>1</v>
      </c>
      <c r="D42">
        <v>-1.83373408617617</v>
      </c>
      <c r="E42">
        <v>-11.1610505328968</v>
      </c>
      <c r="F42">
        <v>1.0012112253905601</v>
      </c>
      <c r="G42">
        <v>1.35177865612648</v>
      </c>
      <c r="H42">
        <v>0.33833377008225696</v>
      </c>
      <c r="I42">
        <v>-3.4821170052269799</v>
      </c>
      <c r="J42">
        <v>-2.9668065820307401</v>
      </c>
      <c r="K42">
        <v>64.940448737079095</v>
      </c>
      <c r="L42">
        <v>4.5044957472661302</v>
      </c>
      <c r="M42" s="10">
        <v>104.99857725504999</v>
      </c>
      <c r="N42">
        <f t="shared" si="1"/>
        <v>0.21420745069393687</v>
      </c>
      <c r="R42" s="30"/>
    </row>
    <row r="43" spans="1:18" x14ac:dyDescent="0.2">
      <c r="A43">
        <v>4</v>
      </c>
      <c r="B43" s="6">
        <f t="shared" si="4"/>
        <v>1934</v>
      </c>
      <c r="C43" t="s">
        <v>1</v>
      </c>
      <c r="D43">
        <v>-1.5740462440155401</v>
      </c>
      <c r="E43">
        <v>0.64316833632807402</v>
      </c>
      <c r="F43">
        <v>0.55285253844101501</v>
      </c>
      <c r="G43">
        <v>2.8814229249011798</v>
      </c>
      <c r="H43">
        <v>0.35698279130068905</v>
      </c>
      <c r="I43">
        <v>-0.25494887307416197</v>
      </c>
      <c r="J43">
        <v>-2.5665542193495199</v>
      </c>
      <c r="K43">
        <v>64.940448737079095</v>
      </c>
      <c r="L43">
        <v>30.7829890643985</v>
      </c>
      <c r="M43" s="10">
        <v>104.99857725504999</v>
      </c>
      <c r="N43">
        <f t="shared" si="1"/>
        <v>0</v>
      </c>
      <c r="R43" s="30"/>
    </row>
    <row r="44" spans="1:18" x14ac:dyDescent="0.2">
      <c r="A44">
        <v>4</v>
      </c>
      <c r="B44" s="6">
        <f t="shared" si="4"/>
        <v>1935</v>
      </c>
      <c r="C44" t="s">
        <v>1</v>
      </c>
      <c r="D44">
        <v>-1.70682067025912</v>
      </c>
      <c r="E44">
        <v>-11.5659536761266</v>
      </c>
      <c r="F44">
        <v>0.55285253844101501</v>
      </c>
      <c r="G44">
        <v>3.4861660079051302</v>
      </c>
      <c r="H44">
        <v>0.40723285602231246</v>
      </c>
      <c r="I44">
        <v>-3.4953749561878</v>
      </c>
      <c r="J44">
        <v>-2.3361058893209301</v>
      </c>
      <c r="K44">
        <v>59.552348137496899</v>
      </c>
      <c r="L44">
        <v>17.147023086269702</v>
      </c>
      <c r="M44" s="10">
        <v>104.799392962155</v>
      </c>
      <c r="N44">
        <f t="shared" si="1"/>
        <v>-8.2969870155913283E-2</v>
      </c>
      <c r="R44" s="30"/>
    </row>
    <row r="45" spans="1:18" x14ac:dyDescent="0.2">
      <c r="A45">
        <v>4</v>
      </c>
      <c r="B45" s="6">
        <f t="shared" si="4"/>
        <v>1936</v>
      </c>
      <c r="C45" t="s">
        <v>1</v>
      </c>
      <c r="D45">
        <v>-1.48688250069773</v>
      </c>
      <c r="E45">
        <v>-1.2590149408028899</v>
      </c>
      <c r="F45">
        <v>9.7088953213853397</v>
      </c>
      <c r="G45">
        <v>5.7272727272727204</v>
      </c>
      <c r="H45">
        <v>0.34579012857511571</v>
      </c>
      <c r="I45">
        <v>-1.8289876716294999</v>
      </c>
      <c r="J45">
        <v>-4.8154919784717899E-2</v>
      </c>
      <c r="K45">
        <v>49.3393743726091</v>
      </c>
      <c r="L45">
        <v>24.274119076549201</v>
      </c>
      <c r="M45" s="10">
        <v>104.799392962155</v>
      </c>
      <c r="N45">
        <f t="shared" si="1"/>
        <v>-0.17149573584080458</v>
      </c>
      <c r="R45" s="30"/>
    </row>
    <row r="46" spans="1:18" x14ac:dyDescent="0.2">
      <c r="A46">
        <v>4</v>
      </c>
      <c r="B46" s="6">
        <f t="shared" si="4"/>
        <v>1937</v>
      </c>
      <c r="C46" t="s">
        <v>1</v>
      </c>
      <c r="D46">
        <v>-0.12509929367311301</v>
      </c>
      <c r="E46">
        <v>26.238215964752499</v>
      </c>
      <c r="F46">
        <v>-10.6002750918683</v>
      </c>
      <c r="G46">
        <v>2.09881422924901</v>
      </c>
      <c r="H46">
        <v>0.2580114395405172</v>
      </c>
      <c r="I46">
        <v>0.79837247222688001</v>
      </c>
      <c r="J46">
        <v>-1.1481729456905101</v>
      </c>
      <c r="K46">
        <v>57.481754795301001</v>
      </c>
      <c r="L46">
        <v>6.4933171324423098</v>
      </c>
      <c r="M46" s="10">
        <v>104.770938063169</v>
      </c>
      <c r="N46">
        <f t="shared" si="1"/>
        <v>0.16502804354998402</v>
      </c>
      <c r="R46" s="30"/>
    </row>
    <row r="47" spans="1:18" ht="16" thickBot="1" x14ac:dyDescent="0.25">
      <c r="A47">
        <v>4</v>
      </c>
      <c r="B47" s="6">
        <f t="shared" si="4"/>
        <v>1938</v>
      </c>
      <c r="C47" t="s">
        <v>1</v>
      </c>
      <c r="D47">
        <v>0.498572317997382</v>
      </c>
      <c r="E47">
        <v>17.640485391488401</v>
      </c>
      <c r="F47">
        <v>-20.695736076040301</v>
      </c>
      <c r="G47">
        <v>2.7747035573122498</v>
      </c>
      <c r="H47">
        <v>0.24855842933529512</v>
      </c>
      <c r="I47">
        <v>-0.23391901982596799</v>
      </c>
      <c r="J47">
        <v>-0.916643061313829</v>
      </c>
      <c r="K47">
        <v>31.853278710762599</v>
      </c>
      <c r="L47">
        <v>-8.6376670716889201</v>
      </c>
      <c r="M47" s="10">
        <v>204.434221758512</v>
      </c>
      <c r="N47">
        <f t="shared" si="1"/>
        <v>-0.44585410058903541</v>
      </c>
      <c r="R47" s="30"/>
    </row>
    <row r="48" spans="1:18" x14ac:dyDescent="0.2">
      <c r="A48" s="26">
        <v>5</v>
      </c>
      <c r="B48" s="4">
        <v>1941</v>
      </c>
      <c r="C48" s="5" t="s">
        <v>16</v>
      </c>
      <c r="D48" s="5">
        <v>-0.134366265319286</v>
      </c>
      <c r="E48" s="5">
        <v>13.945967213114701</v>
      </c>
      <c r="F48" s="5">
        <v>-13.201350445597299</v>
      </c>
      <c r="G48" s="5">
        <v>0.95958777708632903</v>
      </c>
      <c r="H48" s="5">
        <v>11.8919590189382</v>
      </c>
      <c r="I48" s="5">
        <v>11.3529777962232</v>
      </c>
      <c r="J48" s="5">
        <v>-2.0925043256831302</v>
      </c>
      <c r="K48" s="5">
        <v>59.936182701029701</v>
      </c>
      <c r="L48" s="5">
        <v>10.287413280475601</v>
      </c>
      <c r="M48" s="9">
        <v>120.111485990905</v>
      </c>
    </row>
    <row r="49" spans="1:14" x14ac:dyDescent="0.2">
      <c r="A49" s="27">
        <v>5</v>
      </c>
      <c r="B49" s="6">
        <f>B48+1</f>
        <v>1942</v>
      </c>
      <c r="C49" t="s">
        <v>16</v>
      </c>
      <c r="D49">
        <v>0.60757095248333703</v>
      </c>
      <c r="E49">
        <v>7.4575737704918001</v>
      </c>
      <c r="F49">
        <v>-8.4507112181317297</v>
      </c>
      <c r="G49">
        <v>0.952753159803438</v>
      </c>
      <c r="H49">
        <v>12.441477801924799</v>
      </c>
      <c r="I49">
        <v>2.6063498651172399</v>
      </c>
      <c r="J49">
        <v>-1.5402125297900799</v>
      </c>
      <c r="K49">
        <v>75.843124699855906</v>
      </c>
      <c r="L49">
        <v>12.3785926660059</v>
      </c>
      <c r="M49" s="10">
        <v>105.31025377732099</v>
      </c>
      <c r="N49">
        <f t="shared" si="1"/>
        <v>0.26539798302091278</v>
      </c>
    </row>
    <row r="50" spans="1:14" x14ac:dyDescent="0.2">
      <c r="A50" s="27">
        <v>5</v>
      </c>
      <c r="B50" s="6">
        <f t="shared" ref="B50:B59" si="5">B49+1</f>
        <v>1943</v>
      </c>
      <c r="C50" t="s">
        <v>16</v>
      </c>
      <c r="D50">
        <v>1.0967399483981899</v>
      </c>
      <c r="E50">
        <v>5.5687868852458902</v>
      </c>
      <c r="F50">
        <v>7.6533525308442796</v>
      </c>
      <c r="G50">
        <v>0.952753159803438</v>
      </c>
      <c r="H50">
        <v>13.7926109903756</v>
      </c>
      <c r="I50">
        <v>2.5188490004841899</v>
      </c>
      <c r="J50">
        <v>-1.4436600176291901</v>
      </c>
      <c r="K50">
        <v>94.511071981217597</v>
      </c>
      <c r="L50">
        <v>9.8529897588371096</v>
      </c>
      <c r="M50" s="10">
        <v>104.95819275341</v>
      </c>
      <c r="N50">
        <f t="shared" si="1"/>
        <v>0.24613895267684249</v>
      </c>
    </row>
    <row r="51" spans="1:14" x14ac:dyDescent="0.2">
      <c r="A51" s="27">
        <v>5</v>
      </c>
      <c r="B51" s="6">
        <f t="shared" si="5"/>
        <v>1944</v>
      </c>
      <c r="C51" t="s">
        <v>16</v>
      </c>
      <c r="D51">
        <v>1.1591861965168699</v>
      </c>
      <c r="E51">
        <v>4.4414426229508104</v>
      </c>
      <c r="F51">
        <v>21.210436164138699</v>
      </c>
      <c r="G51">
        <v>0.95692152528915697</v>
      </c>
      <c r="H51">
        <v>14.5625582117354</v>
      </c>
      <c r="I51">
        <v>-0.171543197067165</v>
      </c>
      <c r="J51">
        <v>-1.61836864614279</v>
      </c>
      <c r="K51">
        <v>104.77989434928701</v>
      </c>
      <c r="L51">
        <v>9.9768747935249191</v>
      </c>
      <c r="M51" s="10">
        <v>106.366436849053</v>
      </c>
      <c r="N51">
        <f t="shared" si="1"/>
        <v>0.10865205687340151</v>
      </c>
    </row>
    <row r="52" spans="1:14" x14ac:dyDescent="0.2">
      <c r="A52" s="27">
        <v>5</v>
      </c>
      <c r="B52" s="6">
        <f t="shared" si="5"/>
        <v>1945</v>
      </c>
      <c r="C52" t="s">
        <v>16</v>
      </c>
      <c r="D52">
        <v>0.51174478606751195</v>
      </c>
      <c r="E52">
        <v>4.0220327868852399</v>
      </c>
      <c r="F52">
        <v>26.4168507807263</v>
      </c>
      <c r="G52">
        <v>0.95087551769275402</v>
      </c>
      <c r="H52">
        <v>16.0376694608299</v>
      </c>
      <c r="I52">
        <v>-7.1664245694127402</v>
      </c>
      <c r="J52">
        <v>-1.61836864614279</v>
      </c>
      <c r="K52">
        <v>109.992849901285</v>
      </c>
      <c r="L52">
        <v>6.8913115295671998</v>
      </c>
      <c r="M52" s="10">
        <v>109.417632389614</v>
      </c>
      <c r="N52">
        <f t="shared" si="1"/>
        <v>4.9751487003989903E-2</v>
      </c>
    </row>
    <row r="53" spans="1:14" x14ac:dyDescent="0.2">
      <c r="A53" s="27">
        <v>5</v>
      </c>
      <c r="B53" s="6">
        <f t="shared" si="5"/>
        <v>1946</v>
      </c>
      <c r="C53" t="s">
        <v>16</v>
      </c>
      <c r="D53">
        <v>2.3623951838314498E-2</v>
      </c>
      <c r="E53">
        <v>3.94649180327868</v>
      </c>
      <c r="F53">
        <v>31.504108432837601</v>
      </c>
      <c r="G53">
        <v>0.46527971502757398</v>
      </c>
      <c r="H53">
        <v>16.557797785366802</v>
      </c>
      <c r="I53">
        <v>-4.3193608632496199</v>
      </c>
      <c r="J53">
        <v>-2.0090349645783601</v>
      </c>
      <c r="K53">
        <v>115.151165892961</v>
      </c>
      <c r="L53">
        <v>3.6389164188965801</v>
      </c>
      <c r="M53" s="10">
        <v>109.16825583101</v>
      </c>
      <c r="N53">
        <f t="shared" si="1"/>
        <v>4.6896830078549945E-2</v>
      </c>
    </row>
    <row r="54" spans="1:14" x14ac:dyDescent="0.2">
      <c r="A54" s="27">
        <v>5</v>
      </c>
      <c r="B54" s="6">
        <f t="shared" si="5"/>
        <v>1947</v>
      </c>
      <c r="C54" t="s">
        <v>16</v>
      </c>
      <c r="D54">
        <v>-0.158232100623521</v>
      </c>
      <c r="E54">
        <v>3.9887213114754001</v>
      </c>
      <c r="F54">
        <v>28.569123451580001</v>
      </c>
      <c r="G54">
        <v>0.458182227849187</v>
      </c>
      <c r="H54">
        <v>17.105453792817901</v>
      </c>
      <c r="I54">
        <v>-2.1397938714809399</v>
      </c>
      <c r="J54">
        <v>-1.5224445822859101</v>
      </c>
      <c r="K54">
        <v>116.47959020329699</v>
      </c>
      <c r="L54">
        <v>-4.1328047571853501</v>
      </c>
      <c r="M54" s="10">
        <v>109.16825583101</v>
      </c>
      <c r="N54">
        <f t="shared" si="1"/>
        <v>1.1536351369388909E-2</v>
      </c>
    </row>
    <row r="55" spans="1:14" x14ac:dyDescent="0.2">
      <c r="A55" s="27">
        <v>5</v>
      </c>
      <c r="B55" s="6">
        <f t="shared" si="5"/>
        <v>1948</v>
      </c>
      <c r="C55" t="s">
        <v>16</v>
      </c>
      <c r="D55">
        <v>-3.3863685228982997E-2</v>
      </c>
      <c r="E55">
        <v>7.5567213114754104</v>
      </c>
      <c r="F55">
        <v>15.9466772583968</v>
      </c>
      <c r="G55">
        <v>0.44898178150683399</v>
      </c>
      <c r="H55">
        <v>15.7315533478215</v>
      </c>
      <c r="I55">
        <v>0.35622881649027899</v>
      </c>
      <c r="J55">
        <v>-2.1785446116679101</v>
      </c>
      <c r="K55">
        <v>119.390854276719</v>
      </c>
      <c r="L55">
        <v>-1.33961017509085</v>
      </c>
      <c r="M55" s="10">
        <v>111.207275927827</v>
      </c>
      <c r="N55">
        <f t="shared" si="1"/>
        <v>2.4993769881408889E-2</v>
      </c>
    </row>
    <row r="56" spans="1:14" x14ac:dyDescent="0.2">
      <c r="A56" s="27">
        <v>5</v>
      </c>
      <c r="B56" s="6">
        <f t="shared" si="5"/>
        <v>1949</v>
      </c>
      <c r="C56" t="s">
        <v>16</v>
      </c>
      <c r="D56">
        <v>-0.19661094388303599</v>
      </c>
      <c r="E56">
        <v>3.6915409836065498</v>
      </c>
      <c r="F56">
        <v>-4.3688404537894296</v>
      </c>
      <c r="G56">
        <v>0.44898178150683399</v>
      </c>
      <c r="H56">
        <v>14.2262237400393</v>
      </c>
      <c r="I56">
        <v>2.5316455696202498</v>
      </c>
      <c r="J56">
        <v>-1.70937938689562</v>
      </c>
      <c r="K56">
        <v>106.08612133824199</v>
      </c>
      <c r="L56">
        <v>2.06640237859264</v>
      </c>
      <c r="M56" s="10">
        <v>121.182338271967</v>
      </c>
      <c r="N56">
        <f t="shared" si="1"/>
        <v>-0.11143845999828317</v>
      </c>
    </row>
    <row r="57" spans="1:14" x14ac:dyDescent="0.2">
      <c r="A57" s="27">
        <v>5</v>
      </c>
      <c r="B57" s="6">
        <f t="shared" si="5"/>
        <v>1950</v>
      </c>
      <c r="C57" t="s">
        <v>16</v>
      </c>
      <c r="D57">
        <v>-0.285583745431091</v>
      </c>
      <c r="E57">
        <v>3.2375081967213002</v>
      </c>
      <c r="F57">
        <v>-8.8424397388476397</v>
      </c>
      <c r="G57">
        <v>0.437415506105018</v>
      </c>
      <c r="H57">
        <v>13.7205836696678</v>
      </c>
      <c r="I57">
        <v>3.4287888220239302</v>
      </c>
      <c r="J57">
        <v>-2.1965982174920802</v>
      </c>
      <c r="K57">
        <v>75.332586308094506</v>
      </c>
      <c r="L57">
        <v>-20.459200528576101</v>
      </c>
      <c r="M57" s="10">
        <v>119.99413231626799</v>
      </c>
      <c r="N57">
        <f t="shared" si="1"/>
        <v>-0.28989216159665021</v>
      </c>
    </row>
    <row r="58" spans="1:14" x14ac:dyDescent="0.2">
      <c r="A58" s="27">
        <v>5</v>
      </c>
      <c r="B58" s="6">
        <f t="shared" si="5"/>
        <v>1951</v>
      </c>
      <c r="C58" t="s">
        <v>16</v>
      </c>
      <c r="D58">
        <v>-1.89475381638359E-3</v>
      </c>
      <c r="E58">
        <v>7.2060327868852401</v>
      </c>
      <c r="F58">
        <v>-11.792319340664699</v>
      </c>
      <c r="G58">
        <v>0.47906160811999698</v>
      </c>
      <c r="H58">
        <v>12.8779882024216</v>
      </c>
      <c r="I58">
        <v>3.74593622466625</v>
      </c>
      <c r="J58">
        <v>-1.9145391923215</v>
      </c>
      <c r="K58">
        <v>89.012966223787402</v>
      </c>
      <c r="L58">
        <v>-16.841757515692102</v>
      </c>
      <c r="M58" s="10">
        <v>159.718351180871</v>
      </c>
      <c r="N58">
        <f t="shared" si="1"/>
        <v>0.18159976427389601</v>
      </c>
    </row>
    <row r="59" spans="1:14" x14ac:dyDescent="0.2">
      <c r="A59" s="27">
        <v>5</v>
      </c>
      <c r="B59" s="6">
        <f t="shared" si="5"/>
        <v>1952</v>
      </c>
      <c r="C59" t="s">
        <v>16</v>
      </c>
      <c r="D59">
        <v>-0.45961889916146997</v>
      </c>
      <c r="E59">
        <v>10.317377049180299</v>
      </c>
      <c r="F59">
        <v>-13.2184792592408</v>
      </c>
      <c r="G59">
        <v>2.4187785669835402</v>
      </c>
      <c r="H59">
        <v>12.303839387353801</v>
      </c>
      <c r="I59">
        <v>1.1471951303866701</v>
      </c>
      <c r="J59">
        <v>-1.532328360158</v>
      </c>
      <c r="K59">
        <v>70.056453764473503</v>
      </c>
      <c r="L59">
        <v>-15.1139742319127</v>
      </c>
      <c r="M59" s="10">
        <v>164.57385946897401</v>
      </c>
      <c r="N59">
        <f t="shared" si="1"/>
        <v>-0.21296349580863705</v>
      </c>
    </row>
    <row r="60" spans="1:14" ht="16" thickBot="1" x14ac:dyDescent="0.25">
      <c r="A60" s="28">
        <v>5</v>
      </c>
      <c r="B60" s="7">
        <v>1953</v>
      </c>
      <c r="C60" s="8" t="s">
        <v>16</v>
      </c>
      <c r="D60" s="8">
        <v>-0.786725972909051</v>
      </c>
      <c r="E60" s="8">
        <v>5.5887213114754104</v>
      </c>
      <c r="F60" s="8">
        <v>-14.607402626418001</v>
      </c>
      <c r="G60" s="8">
        <v>2.4266271110062001</v>
      </c>
      <c r="H60" s="8">
        <v>11.938942357445899</v>
      </c>
      <c r="I60" s="8">
        <v>3.50591409006018</v>
      </c>
      <c r="J60" s="8">
        <v>-1.1422904900264399</v>
      </c>
      <c r="K60" s="8">
        <v>80.832399551784803</v>
      </c>
      <c r="L60" s="8">
        <v>-10.181698050875401</v>
      </c>
      <c r="M60" s="11">
        <v>154.10004400762699</v>
      </c>
      <c r="N60">
        <f t="shared" si="1"/>
        <v>0.15381803114870074</v>
      </c>
    </row>
    <row r="61" spans="1:14" x14ac:dyDescent="0.2">
      <c r="A61">
        <v>6</v>
      </c>
      <c r="B61" s="6">
        <v>1943</v>
      </c>
      <c r="C61" t="s">
        <v>29</v>
      </c>
      <c r="D61">
        <v>0.47611383028373699</v>
      </c>
      <c r="E61">
        <v>5.20765690527403</v>
      </c>
      <c r="F61">
        <v>-1.09067967439641</v>
      </c>
      <c r="G61">
        <v>0.27005676983451399</v>
      </c>
      <c r="H61">
        <v>13.946883495503901</v>
      </c>
      <c r="I61">
        <v>12.0499229863187</v>
      </c>
      <c r="J61">
        <v>-1.6826902162091599</v>
      </c>
      <c r="K61">
        <v>89.801860246990699</v>
      </c>
      <c r="L61">
        <v>-11.0212998361551</v>
      </c>
      <c r="M61" s="10">
        <v>101.30878904670701</v>
      </c>
    </row>
    <row r="62" spans="1:14" x14ac:dyDescent="0.2">
      <c r="A62">
        <v>6</v>
      </c>
      <c r="B62" s="6">
        <f>B61+1</f>
        <v>1944</v>
      </c>
      <c r="C62" t="s">
        <v>29</v>
      </c>
      <c r="D62">
        <v>0.67344997187750499</v>
      </c>
      <c r="E62">
        <v>3.4597868275273602</v>
      </c>
      <c r="F62">
        <v>12.544970532568</v>
      </c>
      <c r="G62">
        <v>0.26721192801533999</v>
      </c>
      <c r="H62">
        <v>16.2667142312376</v>
      </c>
      <c r="I62">
        <v>2.9423756455558499</v>
      </c>
      <c r="J62">
        <v>-1.66937834428155</v>
      </c>
      <c r="K62">
        <v>102.48163201500699</v>
      </c>
      <c r="L62">
        <v>-17.344620425996698</v>
      </c>
      <c r="M62" s="10">
        <v>104.336846077136</v>
      </c>
      <c r="N62">
        <f t="shared" si="1"/>
        <v>0.14119720608394859</v>
      </c>
    </row>
    <row r="63" spans="1:14" x14ac:dyDescent="0.2">
      <c r="A63">
        <v>6</v>
      </c>
      <c r="B63" s="6">
        <f t="shared" ref="B63:B69" si="6">B62+1</f>
        <v>1945</v>
      </c>
      <c r="C63" t="s">
        <v>29</v>
      </c>
      <c r="D63">
        <v>0.342083218649401</v>
      </c>
      <c r="E63">
        <v>3.6124442735433</v>
      </c>
      <c r="F63">
        <v>30.313139550987099</v>
      </c>
      <c r="G63">
        <v>0.26721192801533999</v>
      </c>
      <c r="H63">
        <v>16.699592830871001</v>
      </c>
      <c r="I63">
        <v>-6.8881942556854199</v>
      </c>
      <c r="J63">
        <v>-1.2344368556140399</v>
      </c>
      <c r="K63">
        <v>137.290917617633</v>
      </c>
      <c r="L63">
        <v>-27.5084653194975</v>
      </c>
      <c r="M63" s="10">
        <v>104.993396760369</v>
      </c>
      <c r="N63">
        <f t="shared" si="1"/>
        <v>0.33966365404415755</v>
      </c>
    </row>
    <row r="64" spans="1:14" x14ac:dyDescent="0.2">
      <c r="A64">
        <v>6</v>
      </c>
      <c r="B64" s="6">
        <f t="shared" si="6"/>
        <v>1946</v>
      </c>
      <c r="C64" t="s">
        <v>29</v>
      </c>
      <c r="D64">
        <v>3.0821057166448E-2</v>
      </c>
      <c r="E64">
        <v>13.7464761652987</v>
      </c>
      <c r="F64">
        <v>15.979503593026299</v>
      </c>
      <c r="G64">
        <v>0.29454272977812501</v>
      </c>
      <c r="H64">
        <v>12.9870222528385</v>
      </c>
      <c r="I64">
        <v>-4.63350548156202</v>
      </c>
      <c r="J64">
        <v>-1.4197154913646799</v>
      </c>
      <c r="K64">
        <v>110.377911521025</v>
      </c>
      <c r="L64">
        <v>-17.853631895139198</v>
      </c>
      <c r="M64" s="10">
        <v>109.75338921381</v>
      </c>
      <c r="N64">
        <f t="shared" si="1"/>
        <v>-0.19602903501281155</v>
      </c>
    </row>
    <row r="65" spans="1:14" x14ac:dyDescent="0.2">
      <c r="A65">
        <v>6</v>
      </c>
      <c r="B65" s="6">
        <f t="shared" si="6"/>
        <v>1947</v>
      </c>
      <c r="C65" t="s">
        <v>29</v>
      </c>
      <c r="D65">
        <v>0.16084271747064999</v>
      </c>
      <c r="E65">
        <v>10.6512214758648</v>
      </c>
      <c r="F65">
        <v>2.8738055303368499</v>
      </c>
      <c r="G65">
        <v>0.69454780985280296</v>
      </c>
      <c r="H65">
        <v>12.5218161465316</v>
      </c>
      <c r="I65">
        <v>-0.14632599438253599</v>
      </c>
      <c r="J65">
        <v>-1.1709226954365499</v>
      </c>
      <c r="K65">
        <v>112.687587931843</v>
      </c>
      <c r="L65">
        <v>-12.054614964500299</v>
      </c>
      <c r="M65" s="10">
        <v>109.40058755356699</v>
      </c>
      <c r="N65">
        <f t="shared" si="1"/>
        <v>2.0925168622872858E-2</v>
      </c>
    </row>
    <row r="66" spans="1:14" x14ac:dyDescent="0.2">
      <c r="A66">
        <v>6</v>
      </c>
      <c r="B66" s="6">
        <f t="shared" si="6"/>
        <v>1948</v>
      </c>
      <c r="C66" t="s">
        <v>29</v>
      </c>
      <c r="D66">
        <v>4.8143317018297403E-2</v>
      </c>
      <c r="E66">
        <v>4.9415638255686698</v>
      </c>
      <c r="F66">
        <v>-8.8950097711850002</v>
      </c>
      <c r="G66">
        <v>0.97039586481921103</v>
      </c>
      <c r="H66">
        <v>11.321269974044499</v>
      </c>
      <c r="I66">
        <v>-0.81861012956420598</v>
      </c>
      <c r="J66">
        <v>-0.98425196850393604</v>
      </c>
      <c r="K66">
        <v>112.13068625918299</v>
      </c>
      <c r="L66">
        <v>-1.3096668487165699</v>
      </c>
      <c r="M66" s="10">
        <v>120.739293318599</v>
      </c>
      <c r="N66">
        <f t="shared" si="1"/>
        <v>-4.9419965666213095E-3</v>
      </c>
    </row>
    <row r="67" spans="1:14" x14ac:dyDescent="0.2">
      <c r="A67">
        <v>6</v>
      </c>
      <c r="B67" s="6">
        <f t="shared" si="6"/>
        <v>1949</v>
      </c>
      <c r="C67" t="s">
        <v>29</v>
      </c>
      <c r="D67">
        <v>-9.5490827280016705E-2</v>
      </c>
      <c r="E67">
        <v>1.53138105480718</v>
      </c>
      <c r="F67">
        <v>-8.3041223629341196</v>
      </c>
      <c r="G67">
        <v>0.99914908749158404</v>
      </c>
      <c r="H67">
        <v>11.232037198774799</v>
      </c>
      <c r="I67">
        <v>0.60840808190631801</v>
      </c>
      <c r="J67">
        <v>-0.78496541523469698</v>
      </c>
      <c r="K67">
        <v>112.13068625918299</v>
      </c>
      <c r="L67">
        <v>13.026761332605099</v>
      </c>
      <c r="M67" s="10">
        <v>119.580896423469</v>
      </c>
      <c r="N67">
        <f t="shared" si="1"/>
        <v>0</v>
      </c>
    </row>
    <row r="68" spans="1:14" x14ac:dyDescent="0.2">
      <c r="A68">
        <v>6</v>
      </c>
      <c r="B68" s="6">
        <f t="shared" si="6"/>
        <v>1950</v>
      </c>
      <c r="C68" t="s">
        <v>29</v>
      </c>
      <c r="D68">
        <v>0.58567188827591199</v>
      </c>
      <c r="E68">
        <v>4.8521611651185301</v>
      </c>
      <c r="F68">
        <v>-6.5462323233877502</v>
      </c>
      <c r="G68">
        <v>1.2439070854341501</v>
      </c>
      <c r="H68">
        <v>10.2281131216709</v>
      </c>
      <c r="I68">
        <v>10.908308417142299</v>
      </c>
      <c r="J68">
        <v>-0.80893548527428505</v>
      </c>
      <c r="K68">
        <v>137.98851023917399</v>
      </c>
      <c r="L68">
        <v>9.1938831239759509</v>
      </c>
      <c r="M68" s="10">
        <v>113.24744629814199</v>
      </c>
      <c r="N68">
        <f t="shared" ref="N68:N131" si="7">K68/K67-1</f>
        <v>0.2306043496445056</v>
      </c>
    </row>
    <row r="69" spans="1:14" ht="16" thickBot="1" x14ac:dyDescent="0.25">
      <c r="A69">
        <v>6</v>
      </c>
      <c r="B69" s="6">
        <f t="shared" si="6"/>
        <v>1951</v>
      </c>
      <c r="C69" t="s">
        <v>29</v>
      </c>
      <c r="D69">
        <v>0.681587544726732</v>
      </c>
      <c r="E69">
        <v>6.5906103173553996</v>
      </c>
      <c r="F69">
        <v>-6.8305968886084898</v>
      </c>
      <c r="G69">
        <v>1.5817320514611499</v>
      </c>
      <c r="H69">
        <v>10.1388803464012</v>
      </c>
      <c r="I69">
        <v>4.7087070761982401</v>
      </c>
      <c r="J69">
        <v>-0.88284682646713297</v>
      </c>
      <c r="K69">
        <v>167.2698139753</v>
      </c>
      <c r="L69">
        <v>5.3599126160567803</v>
      </c>
      <c r="M69" s="10">
        <v>114.54356790556</v>
      </c>
      <c r="N69">
        <f t="shared" si="7"/>
        <v>0.21220102808105579</v>
      </c>
    </row>
    <row r="70" spans="1:14" x14ac:dyDescent="0.2">
      <c r="A70" s="26">
        <v>7</v>
      </c>
      <c r="B70" s="4">
        <v>1984</v>
      </c>
      <c r="C70" s="5" t="s">
        <v>4</v>
      </c>
      <c r="D70" s="5">
        <v>-0.86622917718324099</v>
      </c>
      <c r="E70" s="5">
        <v>7.2458600952505696</v>
      </c>
      <c r="F70" s="5">
        <v>4.0514791910412802</v>
      </c>
      <c r="G70" s="5">
        <v>7.9501856435643496</v>
      </c>
      <c r="H70" s="5">
        <v>5.3721014243445904</v>
      </c>
      <c r="I70" s="5">
        <v>10.283261802575099</v>
      </c>
      <c r="J70" s="5">
        <v>-4.1709287651760096</v>
      </c>
      <c r="K70" s="5">
        <v>28.125</v>
      </c>
      <c r="L70" s="5">
        <v>-9.8291433146517093</v>
      </c>
      <c r="M70" s="9">
        <v>128.35086377255001</v>
      </c>
    </row>
    <row r="71" spans="1:14" x14ac:dyDescent="0.2">
      <c r="A71" s="27">
        <v>7</v>
      </c>
      <c r="B71" s="6">
        <f>B70+1</f>
        <v>1985</v>
      </c>
      <c r="C71" t="s">
        <v>4</v>
      </c>
      <c r="D71">
        <v>0.61534578495709003</v>
      </c>
      <c r="E71">
        <v>6.0995324856905597</v>
      </c>
      <c r="F71">
        <v>4.4902222965067704</v>
      </c>
      <c r="G71">
        <v>10.084622524752399</v>
      </c>
      <c r="H71">
        <v>5.3721014243445904</v>
      </c>
      <c r="I71">
        <v>5.3390557939914096</v>
      </c>
      <c r="J71">
        <v>-4.2791662435995903</v>
      </c>
      <c r="K71">
        <v>37.5</v>
      </c>
      <c r="L71">
        <v>-8.1088871096877408</v>
      </c>
      <c r="M71" s="10">
        <v>120.226939504047</v>
      </c>
      <c r="N71">
        <f t="shared" si="7"/>
        <v>0.33333333333333326</v>
      </c>
    </row>
    <row r="72" spans="1:14" x14ac:dyDescent="0.2">
      <c r="A72" s="27">
        <v>7</v>
      </c>
      <c r="B72" s="6">
        <f t="shared" ref="B72:B82" si="8">B71+1</f>
        <v>1986</v>
      </c>
      <c r="C72" t="s">
        <v>4</v>
      </c>
      <c r="D72">
        <v>1.56042402826855</v>
      </c>
      <c r="E72">
        <v>9.4082230086948897</v>
      </c>
      <c r="F72">
        <v>12.571452448604299</v>
      </c>
      <c r="G72">
        <v>15.1178836633663</v>
      </c>
      <c r="H72">
        <v>5.5896924241381702</v>
      </c>
      <c r="I72">
        <v>5.4763948497854003</v>
      </c>
      <c r="J72">
        <v>0.42946867611436002</v>
      </c>
      <c r="K72">
        <v>37.5</v>
      </c>
      <c r="L72">
        <v>-0.67926341072857999</v>
      </c>
      <c r="M72" s="10">
        <v>111.230955568304</v>
      </c>
      <c r="N72">
        <f t="shared" si="7"/>
        <v>0</v>
      </c>
    </row>
    <row r="73" spans="1:14" x14ac:dyDescent="0.2">
      <c r="A73" s="27">
        <v>7</v>
      </c>
      <c r="B73" s="6">
        <f t="shared" si="8"/>
        <v>1987</v>
      </c>
      <c r="C73" t="s">
        <v>4</v>
      </c>
      <c r="D73">
        <v>2.3843008581524399</v>
      </c>
      <c r="E73">
        <v>10.768645956219601</v>
      </c>
      <c r="F73">
        <v>11.6856092261407</v>
      </c>
      <c r="G73">
        <v>13.8787128712871</v>
      </c>
      <c r="H73">
        <v>5.5615151723663399</v>
      </c>
      <c r="I73">
        <v>1.21888412017167</v>
      </c>
      <c r="J73">
        <v>1.8960560479250299</v>
      </c>
      <c r="K73">
        <v>58.125</v>
      </c>
      <c r="L73">
        <v>6.13114491593275</v>
      </c>
      <c r="M73" s="10">
        <v>128.88633900682001</v>
      </c>
      <c r="N73">
        <f t="shared" si="7"/>
        <v>0.55000000000000004</v>
      </c>
    </row>
    <row r="74" spans="1:14" x14ac:dyDescent="0.2">
      <c r="A74" s="27">
        <v>7</v>
      </c>
      <c r="B74" s="6">
        <f t="shared" si="8"/>
        <v>1988</v>
      </c>
      <c r="C74" t="s">
        <v>4</v>
      </c>
      <c r="D74">
        <v>1.42958101968702</v>
      </c>
      <c r="E74">
        <v>7.9456459999126103</v>
      </c>
      <c r="F74">
        <v>11.096439913087</v>
      </c>
      <c r="G74">
        <v>12.695235148514801</v>
      </c>
      <c r="H74">
        <v>5.3235739351819999</v>
      </c>
      <c r="I74">
        <v>-0.15450643776824</v>
      </c>
      <c r="J74">
        <v>1.50229906731843</v>
      </c>
      <c r="K74">
        <v>49.375</v>
      </c>
      <c r="L74">
        <v>9.7796637309847796</v>
      </c>
      <c r="M74" s="10">
        <v>120.69611780455099</v>
      </c>
      <c r="N74">
        <f t="shared" si="7"/>
        <v>-0.15053763440860213</v>
      </c>
    </row>
    <row r="75" spans="1:14" x14ac:dyDescent="0.2">
      <c r="A75" s="27">
        <v>7</v>
      </c>
      <c r="B75" s="6">
        <f t="shared" si="8"/>
        <v>1989</v>
      </c>
      <c r="C75" t="s">
        <v>4</v>
      </c>
      <c r="D75">
        <v>-0.35431600201918201</v>
      </c>
      <c r="E75">
        <v>5.43277843317167</v>
      </c>
      <c r="F75">
        <v>0.38692963396289298</v>
      </c>
      <c r="G75">
        <v>10.0943688118811</v>
      </c>
      <c r="H75">
        <v>4.7286004266152899</v>
      </c>
      <c r="I75">
        <v>-0.97854077253218397</v>
      </c>
      <c r="J75">
        <v>0.70320999115185501</v>
      </c>
      <c r="K75">
        <v>73.749999999999901</v>
      </c>
      <c r="L75">
        <v>7.4051240992794201</v>
      </c>
      <c r="M75" s="10">
        <v>112.041818065914</v>
      </c>
      <c r="N75">
        <f t="shared" si="7"/>
        <v>0.49367088607594733</v>
      </c>
    </row>
    <row r="76" spans="1:14" x14ac:dyDescent="0.2">
      <c r="A76" s="27">
        <v>7</v>
      </c>
      <c r="B76" s="6">
        <f t="shared" si="8"/>
        <v>1990</v>
      </c>
      <c r="C76" t="s">
        <v>4</v>
      </c>
      <c r="D76">
        <v>-0.90474507824331196</v>
      </c>
      <c r="E76">
        <v>4.5103333770262504</v>
      </c>
      <c r="F76">
        <v>0.38692963396289298</v>
      </c>
      <c r="G76">
        <v>10.381188118811799</v>
      </c>
      <c r="H76">
        <v>4.17613362691805</v>
      </c>
      <c r="I76">
        <v>2.0429184549356201</v>
      </c>
      <c r="J76">
        <v>0.77103610333473604</v>
      </c>
      <c r="K76">
        <v>95</v>
      </c>
      <c r="L76">
        <v>7.2206565252201704</v>
      </c>
      <c r="M76" s="10">
        <v>116.636705552368</v>
      </c>
      <c r="N76">
        <f t="shared" si="7"/>
        <v>0.28813559322034066</v>
      </c>
    </row>
    <row r="77" spans="1:14" x14ac:dyDescent="0.2">
      <c r="A77" s="27">
        <v>7</v>
      </c>
      <c r="B77" s="6">
        <f t="shared" si="8"/>
        <v>1991</v>
      </c>
      <c r="C77" t="s">
        <v>4</v>
      </c>
      <c r="D77">
        <v>-1.2606764260474499</v>
      </c>
      <c r="E77">
        <v>3.9549089002490501</v>
      </c>
      <c r="F77">
        <v>-3.2316563596857999</v>
      </c>
      <c r="G77">
        <v>10.381188118811799</v>
      </c>
      <c r="H77">
        <v>4.1512075965045003</v>
      </c>
      <c r="I77">
        <v>1.15021459227467</v>
      </c>
      <c r="J77">
        <v>0.37301460669268099</v>
      </c>
      <c r="K77">
        <v>80.625</v>
      </c>
      <c r="L77">
        <v>4.5372297838270503</v>
      </c>
      <c r="M77" s="10">
        <v>92.346528973034907</v>
      </c>
      <c r="N77">
        <f t="shared" si="7"/>
        <v>-0.15131578947368418</v>
      </c>
    </row>
    <row r="78" spans="1:14" x14ac:dyDescent="0.2">
      <c r="A78" s="27">
        <v>7</v>
      </c>
      <c r="B78" s="6">
        <f t="shared" si="8"/>
        <v>1992</v>
      </c>
      <c r="C78" t="s">
        <v>4</v>
      </c>
      <c r="D78">
        <v>-1.5308934881373</v>
      </c>
      <c r="E78">
        <v>2.8575173679381298</v>
      </c>
      <c r="F78">
        <v>-1.4307203743941099</v>
      </c>
      <c r="G78">
        <v>10.673576732673199</v>
      </c>
      <c r="H78">
        <v>4.1512075965045003</v>
      </c>
      <c r="I78">
        <v>3.1416309012875501</v>
      </c>
      <c r="J78">
        <v>1.4373159658258501</v>
      </c>
      <c r="K78">
        <v>69.375</v>
      </c>
      <c r="L78">
        <v>9.6643714971977595</v>
      </c>
      <c r="M78" s="10">
        <v>93.738764582138003</v>
      </c>
      <c r="N78">
        <f t="shared" si="7"/>
        <v>-0.13953488372093026</v>
      </c>
    </row>
    <row r="79" spans="1:14" x14ac:dyDescent="0.2">
      <c r="A79" s="27">
        <v>7</v>
      </c>
      <c r="B79" s="6">
        <f t="shared" si="8"/>
        <v>1993</v>
      </c>
      <c r="C79" t="s">
        <v>4</v>
      </c>
      <c r="D79">
        <v>-1.24159515396264</v>
      </c>
      <c r="E79">
        <v>3.4918512692795001</v>
      </c>
      <c r="F79">
        <v>3.1071368878488901</v>
      </c>
      <c r="G79">
        <v>8.4876237623762307</v>
      </c>
      <c r="H79">
        <v>4.97810156196243</v>
      </c>
      <c r="I79">
        <v>2.9356223175965601</v>
      </c>
      <c r="J79">
        <v>1.0405129023367801</v>
      </c>
      <c r="K79">
        <v>69.375</v>
      </c>
      <c r="L79">
        <v>1.69959967974379</v>
      </c>
      <c r="M79" s="10">
        <v>104.76955440810799</v>
      </c>
      <c r="N79">
        <f t="shared" si="7"/>
        <v>0</v>
      </c>
    </row>
    <row r="80" spans="1:14" x14ac:dyDescent="0.2">
      <c r="A80" s="27">
        <v>7</v>
      </c>
      <c r="B80" s="6">
        <f t="shared" si="8"/>
        <v>1994</v>
      </c>
      <c r="C80" t="s">
        <v>4</v>
      </c>
      <c r="D80">
        <v>-0.87708228167592095</v>
      </c>
      <c r="E80">
        <v>1.75584392886791</v>
      </c>
      <c r="F80">
        <v>0.324252047467808</v>
      </c>
      <c r="G80">
        <v>5.2003403465346496</v>
      </c>
      <c r="H80">
        <v>5.4674705841877103</v>
      </c>
      <c r="I80">
        <v>4.4463519313304696</v>
      </c>
      <c r="J80">
        <v>-1.79559333343003</v>
      </c>
      <c r="K80">
        <v>80.625</v>
      </c>
      <c r="L80">
        <v>2.4196957566052899</v>
      </c>
      <c r="M80" s="10">
        <v>121.33358832154001</v>
      </c>
      <c r="N80">
        <f t="shared" si="7"/>
        <v>0.16216216216216206</v>
      </c>
    </row>
    <row r="81" spans="1:14" x14ac:dyDescent="0.2">
      <c r="A81" s="27">
        <v>7</v>
      </c>
      <c r="B81" s="6">
        <f t="shared" si="8"/>
        <v>1995</v>
      </c>
      <c r="C81" t="s">
        <v>4</v>
      </c>
      <c r="D81">
        <v>-0.51640585562847097</v>
      </c>
      <c r="E81">
        <v>2.31799711626687</v>
      </c>
      <c r="F81">
        <v>-9.25706167474514</v>
      </c>
      <c r="G81">
        <v>4.96782178217821</v>
      </c>
      <c r="H81">
        <v>4.53172091103007</v>
      </c>
      <c r="I81">
        <v>4.1716738197424901</v>
      </c>
      <c r="J81">
        <v>-2.30672604110761</v>
      </c>
      <c r="K81">
        <v>88.125</v>
      </c>
      <c r="L81">
        <v>4.2725380304243501</v>
      </c>
      <c r="M81" s="10">
        <v>111.17995792694499</v>
      </c>
      <c r="N81">
        <f t="shared" si="7"/>
        <v>9.3023255813953432E-2</v>
      </c>
    </row>
    <row r="82" spans="1:14" ht="16" thickBot="1" x14ac:dyDescent="0.25">
      <c r="A82" s="28">
        <v>7</v>
      </c>
      <c r="B82" s="7">
        <f t="shared" si="8"/>
        <v>1996</v>
      </c>
      <c r="C82" s="8" t="s">
        <v>4</v>
      </c>
      <c r="D82" s="8">
        <v>7.1781928319030103E-2</v>
      </c>
      <c r="E82" s="8">
        <v>-0.34840739284310002</v>
      </c>
      <c r="F82" s="8">
        <v>-13.3812468661206</v>
      </c>
      <c r="G82" s="8">
        <v>3.8943378712871199</v>
      </c>
      <c r="H82" s="8">
        <v>4.6007190531892901</v>
      </c>
      <c r="I82" s="8">
        <v>4.65236051502146</v>
      </c>
      <c r="J82" s="8">
        <v>-1.77366153667628</v>
      </c>
      <c r="K82" s="8">
        <v>97.499999999999901</v>
      </c>
      <c r="L82" s="8">
        <v>-0.83586869495596205</v>
      </c>
      <c r="M82" s="11">
        <v>108.155797794352</v>
      </c>
      <c r="N82">
        <f t="shared" si="7"/>
        <v>0.10638297872340319</v>
      </c>
    </row>
    <row r="83" spans="1:14" x14ac:dyDescent="0.2">
      <c r="A83">
        <v>8</v>
      </c>
      <c r="B83" s="4">
        <v>1987</v>
      </c>
      <c r="C83" s="5" t="s">
        <v>5</v>
      </c>
      <c r="D83" s="5">
        <v>1.0069551079396599</v>
      </c>
      <c r="E83" s="5">
        <v>3.1135223524846798</v>
      </c>
      <c r="F83" s="5">
        <v>-4.4863992468310103</v>
      </c>
      <c r="G83" s="5">
        <v>4.8464104032611202</v>
      </c>
      <c r="H83" s="5">
        <v>11.858341559723501</v>
      </c>
      <c r="I83" s="5">
        <v>4.0458887822785803</v>
      </c>
      <c r="J83" s="5">
        <v>-1.41858793608668</v>
      </c>
      <c r="K83" s="5">
        <v>111.866801210898</v>
      </c>
      <c r="L83" s="5">
        <v>11.513003305587601</v>
      </c>
      <c r="M83" s="9">
        <v>113.65317470580599</v>
      </c>
    </row>
    <row r="84" spans="1:14" x14ac:dyDescent="0.2">
      <c r="A84">
        <v>8</v>
      </c>
      <c r="B84" s="6">
        <f>B83+1</f>
        <v>1988</v>
      </c>
      <c r="C84" t="s">
        <v>5</v>
      </c>
      <c r="D84">
        <v>1.6597416674193799</v>
      </c>
      <c r="E84">
        <v>5.43524292563953</v>
      </c>
      <c r="F84">
        <v>-5.0230321778017197</v>
      </c>
      <c r="G84">
        <v>2.9061078731933998</v>
      </c>
      <c r="H84">
        <v>11.858341559723501</v>
      </c>
      <c r="I84">
        <v>5.1332026198322902</v>
      </c>
      <c r="J84">
        <v>-0.66069552717421198</v>
      </c>
      <c r="K84">
        <v>111.866801210898</v>
      </c>
      <c r="L84">
        <v>16.593253415110102</v>
      </c>
      <c r="M84" s="10">
        <v>110.156472261735</v>
      </c>
      <c r="N84">
        <f t="shared" si="7"/>
        <v>0</v>
      </c>
    </row>
    <row r="85" spans="1:14" x14ac:dyDescent="0.2">
      <c r="A85">
        <v>8</v>
      </c>
      <c r="B85" s="6">
        <f t="shared" ref="B85:B95" si="9">B84+1</f>
        <v>1989</v>
      </c>
      <c r="C85" t="s">
        <v>5</v>
      </c>
      <c r="D85">
        <v>2.3174058350645801</v>
      </c>
      <c r="E85">
        <v>6.5183614644826902</v>
      </c>
      <c r="F85">
        <v>1.15295383477351</v>
      </c>
      <c r="G85">
        <v>2.7664319644240698</v>
      </c>
      <c r="H85">
        <v>12.035208950312599</v>
      </c>
      <c r="I85">
        <v>5.5970964915939998</v>
      </c>
      <c r="J85">
        <v>0.167965942389564</v>
      </c>
      <c r="K85">
        <v>105.02522704339</v>
      </c>
      <c r="L85">
        <v>22.934007726313201</v>
      </c>
      <c r="M85" s="10">
        <v>104.218285270916</v>
      </c>
      <c r="N85">
        <f t="shared" si="7"/>
        <v>-6.1158217571716023E-2</v>
      </c>
    </row>
    <row r="86" spans="1:14" x14ac:dyDescent="0.2">
      <c r="A86">
        <v>8</v>
      </c>
      <c r="B86" s="6">
        <f t="shared" si="9"/>
        <v>1990</v>
      </c>
      <c r="C86" t="s">
        <v>5</v>
      </c>
      <c r="D86">
        <v>1.7315508987444601</v>
      </c>
      <c r="E86">
        <v>4.7143649011945303</v>
      </c>
      <c r="F86">
        <v>4.4033489122759502</v>
      </c>
      <c r="G86">
        <v>2.7664319644240698</v>
      </c>
      <c r="H86">
        <v>14.2974662717999</v>
      </c>
      <c r="I86">
        <v>-2.4943473363647701</v>
      </c>
      <c r="J86">
        <v>-0.89998341350140898</v>
      </c>
      <c r="K86">
        <v>105.02522704339</v>
      </c>
      <c r="L86">
        <v>25.1252538930264</v>
      </c>
      <c r="M86" s="10">
        <v>89.259019785335596</v>
      </c>
      <c r="N86">
        <f t="shared" si="7"/>
        <v>0</v>
      </c>
    </row>
    <row r="87" spans="1:14" x14ac:dyDescent="0.2">
      <c r="A87">
        <v>8</v>
      </c>
      <c r="B87" s="6">
        <f t="shared" si="9"/>
        <v>1991</v>
      </c>
      <c r="C87" t="s">
        <v>5</v>
      </c>
      <c r="D87">
        <v>0.21122753138831199</v>
      </c>
      <c r="E87">
        <v>3.46329092874366</v>
      </c>
      <c r="F87">
        <v>11.372516055277201</v>
      </c>
      <c r="G87">
        <v>2.7664319644240698</v>
      </c>
      <c r="H87">
        <v>15.979763079960501</v>
      </c>
      <c r="I87">
        <v>-5.9538609152726201</v>
      </c>
      <c r="J87">
        <v>1.20075192126942</v>
      </c>
      <c r="K87">
        <v>66.195761856710703</v>
      </c>
      <c r="L87">
        <v>19.7917081524552</v>
      </c>
      <c r="M87" s="10">
        <v>84.831242725979607</v>
      </c>
      <c r="N87">
        <f t="shared" si="7"/>
        <v>-0.36971560338200782</v>
      </c>
    </row>
    <row r="88" spans="1:14" x14ac:dyDescent="0.2">
      <c r="A88">
        <v>8</v>
      </c>
      <c r="B88" s="6">
        <f t="shared" si="9"/>
        <v>1992</v>
      </c>
      <c r="C88" t="s">
        <v>5</v>
      </c>
      <c r="D88">
        <v>-1.48143799114804</v>
      </c>
      <c r="E88">
        <v>2.45749840636346</v>
      </c>
      <c r="F88">
        <v>14.060388016542699</v>
      </c>
      <c r="G88">
        <v>2.7664319644240698</v>
      </c>
      <c r="H88">
        <v>18.793188548864698</v>
      </c>
      <c r="I88">
        <v>-3.4508364273497198</v>
      </c>
      <c r="J88">
        <v>2.1337977552938501</v>
      </c>
      <c r="K88">
        <v>69.323915237134301</v>
      </c>
      <c r="L88">
        <v>1.3644509936676099</v>
      </c>
      <c r="M88" s="10">
        <v>77.2791930686667</v>
      </c>
      <c r="N88">
        <f t="shared" si="7"/>
        <v>4.7256097560972155E-2</v>
      </c>
    </row>
    <row r="89" spans="1:14" x14ac:dyDescent="0.2">
      <c r="A89">
        <v>8</v>
      </c>
      <c r="B89" s="6">
        <f t="shared" si="9"/>
        <v>1993</v>
      </c>
      <c r="C89" t="s">
        <v>5</v>
      </c>
      <c r="D89">
        <v>-2.1312437900821899</v>
      </c>
      <c r="E89">
        <v>1.63019317646406</v>
      </c>
      <c r="F89">
        <v>9.6967149725967303</v>
      </c>
      <c r="G89">
        <v>2.7664319644240698</v>
      </c>
      <c r="H89">
        <v>18.126850937808499</v>
      </c>
      <c r="I89">
        <v>0.76826164949313303</v>
      </c>
      <c r="J89">
        <v>-1.2113672803671101</v>
      </c>
      <c r="K89">
        <v>123.895055499495</v>
      </c>
      <c r="L89">
        <v>-15.635031263690299</v>
      </c>
      <c r="M89" s="10">
        <v>96.438639596534301</v>
      </c>
      <c r="N89">
        <f t="shared" si="7"/>
        <v>0.78719068413390647</v>
      </c>
    </row>
    <row r="90" spans="1:14" x14ac:dyDescent="0.2">
      <c r="A90">
        <v>8</v>
      </c>
      <c r="B90" s="6">
        <f t="shared" si="9"/>
        <v>1994</v>
      </c>
      <c r="C90" t="s">
        <v>5</v>
      </c>
      <c r="D90">
        <v>-1.4128804985999399</v>
      </c>
      <c r="E90">
        <v>2.0672653196973401</v>
      </c>
      <c r="F90">
        <v>6.6557950304293403</v>
      </c>
      <c r="G90">
        <v>2.7664319644240698</v>
      </c>
      <c r="H90">
        <v>15.918065153010801</v>
      </c>
      <c r="I90">
        <v>2.2503858829418699</v>
      </c>
      <c r="J90">
        <v>-5.3336650633051299</v>
      </c>
      <c r="K90">
        <v>191.564076690212</v>
      </c>
      <c r="L90">
        <v>-5.5067903938826799</v>
      </c>
      <c r="M90" s="10">
        <v>95.2178973231605</v>
      </c>
      <c r="N90">
        <f t="shared" si="7"/>
        <v>0.54618015963512634</v>
      </c>
    </row>
    <row r="91" spans="1:14" x14ac:dyDescent="0.2">
      <c r="A91">
        <v>8</v>
      </c>
      <c r="B91" s="6">
        <f t="shared" si="9"/>
        <v>1995</v>
      </c>
      <c r="C91" t="s">
        <v>5</v>
      </c>
      <c r="D91">
        <v>-1.2973082829012701</v>
      </c>
      <c r="E91">
        <v>-0.27718189628890499</v>
      </c>
      <c r="F91">
        <v>-1.04771191284763</v>
      </c>
      <c r="G91">
        <v>2.7664319644240698</v>
      </c>
      <c r="H91">
        <v>13.5735439289239</v>
      </c>
      <c r="I91">
        <v>4.5161236494096899</v>
      </c>
      <c r="J91">
        <v>-2.4564604412008602</v>
      </c>
      <c r="K91">
        <v>222.98688193743601</v>
      </c>
      <c r="L91">
        <v>2.6727468238480299</v>
      </c>
      <c r="M91" s="10">
        <v>95.2178973231605</v>
      </c>
      <c r="N91">
        <f t="shared" si="7"/>
        <v>0.16403286978507681</v>
      </c>
    </row>
    <row r="92" spans="1:14" x14ac:dyDescent="0.2">
      <c r="A92">
        <v>8</v>
      </c>
      <c r="B92" s="6">
        <f t="shared" si="9"/>
        <v>1996</v>
      </c>
      <c r="C92" t="s">
        <v>5</v>
      </c>
      <c r="D92">
        <v>-1.1509800379369499</v>
      </c>
      <c r="E92">
        <v>0.71419860868601104</v>
      </c>
      <c r="F92">
        <v>-10.610604888873899</v>
      </c>
      <c r="G92">
        <v>2.7664319644240698</v>
      </c>
      <c r="H92">
        <v>14.7046725896676</v>
      </c>
      <c r="I92">
        <v>3.09440574026948</v>
      </c>
      <c r="J92">
        <v>-3.7431304251672399</v>
      </c>
      <c r="K92">
        <v>295.96367305751801</v>
      </c>
      <c r="L92">
        <v>-5.8688119797682203</v>
      </c>
      <c r="M92" s="10">
        <v>90.769429716798101</v>
      </c>
      <c r="N92">
        <f t="shared" si="7"/>
        <v>0.3272694361480748</v>
      </c>
    </row>
    <row r="93" spans="1:14" x14ac:dyDescent="0.2">
      <c r="A93">
        <v>8</v>
      </c>
      <c r="B93" s="6">
        <f t="shared" si="9"/>
        <v>1997</v>
      </c>
      <c r="C93" t="s">
        <v>5</v>
      </c>
      <c r="D93">
        <v>-0.83312257248667598</v>
      </c>
      <c r="E93">
        <v>1.4833014606025301</v>
      </c>
      <c r="F93">
        <v>-17.330284792037901</v>
      </c>
      <c r="G93">
        <v>2.7664319644240698</v>
      </c>
      <c r="H93">
        <v>14.001316222441501</v>
      </c>
      <c r="I93">
        <v>6.3730340828500998</v>
      </c>
      <c r="J93">
        <v>-2.9211035550395299</v>
      </c>
      <c r="K93">
        <v>458.97073662966699</v>
      </c>
      <c r="L93">
        <v>-10.866621530128601</v>
      </c>
      <c r="M93" s="10">
        <v>88.596922281132805</v>
      </c>
      <c r="N93">
        <f t="shared" si="7"/>
        <v>0.55076713262870602</v>
      </c>
    </row>
    <row r="94" spans="1:14" x14ac:dyDescent="0.2">
      <c r="A94">
        <v>8</v>
      </c>
      <c r="B94" s="6">
        <f t="shared" si="9"/>
        <v>1998</v>
      </c>
      <c r="C94" t="s">
        <v>5</v>
      </c>
      <c r="D94">
        <v>-0.34373588655044601</v>
      </c>
      <c r="E94">
        <v>0.795681937862035</v>
      </c>
      <c r="F94">
        <v>-17.857503110184599</v>
      </c>
      <c r="G94">
        <v>2.7664319644240698</v>
      </c>
      <c r="H94">
        <v>13.832675222112499</v>
      </c>
      <c r="I94">
        <v>5.6565016061073603</v>
      </c>
      <c r="J94">
        <v>-0.88317576159672795</v>
      </c>
      <c r="K94">
        <v>574.873864783047</v>
      </c>
      <c r="L94">
        <v>-5.8281890955434204</v>
      </c>
      <c r="M94" s="10">
        <v>80.237941290572905</v>
      </c>
      <c r="N94">
        <f t="shared" si="7"/>
        <v>0.25252836162166825</v>
      </c>
    </row>
    <row r="95" spans="1:14" ht="16" thickBot="1" x14ac:dyDescent="0.25">
      <c r="A95">
        <v>8</v>
      </c>
      <c r="B95" s="7">
        <f t="shared" si="9"/>
        <v>1999</v>
      </c>
      <c r="C95" s="8" t="s">
        <v>5</v>
      </c>
      <c r="D95" s="8">
        <v>0.37381447023755798</v>
      </c>
      <c r="E95" s="8">
        <v>1.5772567279177401</v>
      </c>
      <c r="F95" s="8">
        <v>-15.294374768837599</v>
      </c>
      <c r="G95" s="8">
        <v>2.7664319644240698</v>
      </c>
      <c r="H95" s="8">
        <v>0</v>
      </c>
      <c r="I95" s="8">
        <v>4.1596929623294701</v>
      </c>
      <c r="J95" s="8">
        <v>-2.4420854757560599</v>
      </c>
      <c r="K95" s="8">
        <v>820.82744702320804</v>
      </c>
      <c r="L95" s="8">
        <v>-10.330160500219</v>
      </c>
      <c r="M95" s="11">
        <v>83.217380059485194</v>
      </c>
      <c r="N95">
        <f t="shared" si="7"/>
        <v>0.4278392136212037</v>
      </c>
    </row>
    <row r="96" spans="1:14" x14ac:dyDescent="0.2">
      <c r="A96" s="26">
        <v>9</v>
      </c>
      <c r="B96" s="4">
        <v>1987</v>
      </c>
      <c r="C96" s="5" t="s">
        <v>6</v>
      </c>
      <c r="D96" s="5">
        <v>1.4362059969582199</v>
      </c>
      <c r="E96" s="5">
        <v>5.0118133837997902</v>
      </c>
      <c r="F96" s="5">
        <v>4.0863245039547502</v>
      </c>
      <c r="G96" s="5">
        <v>9.1403909700132697</v>
      </c>
      <c r="H96" s="5">
        <v>4.5320567618396304</v>
      </c>
      <c r="I96" s="5">
        <v>3.6458481754136001</v>
      </c>
      <c r="J96" s="5">
        <v>-0.67094270641245402</v>
      </c>
      <c r="K96" s="5">
        <v>65.196160969860301</v>
      </c>
      <c r="L96" s="5">
        <v>0.391408037642207</v>
      </c>
      <c r="M96" s="9">
        <v>136.69414123412699</v>
      </c>
    </row>
    <row r="97" spans="1:14" x14ac:dyDescent="0.2">
      <c r="A97" s="27">
        <v>9</v>
      </c>
      <c r="B97" s="6">
        <f>B96+1</f>
        <v>1988</v>
      </c>
      <c r="C97" t="s">
        <v>6</v>
      </c>
      <c r="D97">
        <v>1.97861876797033</v>
      </c>
      <c r="E97">
        <v>5.4416794987833903</v>
      </c>
      <c r="F97">
        <v>5.2632294925860599</v>
      </c>
      <c r="G97">
        <v>10.6397270004014</v>
      </c>
      <c r="H97">
        <v>4.2140536843904899</v>
      </c>
      <c r="I97">
        <v>1.38621071796089</v>
      </c>
      <c r="J97">
        <v>-1.1042765742507601</v>
      </c>
      <c r="K97">
        <v>79.104226300724093</v>
      </c>
      <c r="L97">
        <v>2.3270166618324502</v>
      </c>
      <c r="M97" s="10">
        <v>137.00824237023801</v>
      </c>
      <c r="N97">
        <f t="shared" si="7"/>
        <v>0.21332644628099162</v>
      </c>
    </row>
    <row r="98" spans="1:14" x14ac:dyDescent="0.2">
      <c r="A98" s="27">
        <v>9</v>
      </c>
      <c r="B98" s="6">
        <f t="shared" ref="B98:B109" si="10">B97+1</f>
        <v>1989</v>
      </c>
      <c r="C98" t="s">
        <v>6</v>
      </c>
      <c r="D98">
        <v>2.5901930527647901</v>
      </c>
      <c r="E98">
        <v>6.2902448485418399</v>
      </c>
      <c r="F98">
        <v>5.3774996599102201</v>
      </c>
      <c r="G98">
        <v>12.6141358615649</v>
      </c>
      <c r="H98">
        <v>4.2140536843904899</v>
      </c>
      <c r="I98">
        <v>2.5719939840101298</v>
      </c>
      <c r="J98">
        <v>1.1755367766143301</v>
      </c>
      <c r="K98">
        <v>103.148678228658</v>
      </c>
      <c r="L98">
        <v>7.0548519127267797</v>
      </c>
      <c r="M98" s="10">
        <v>122.00824237023799</v>
      </c>
      <c r="N98">
        <f t="shared" si="7"/>
        <v>0.30395913154533716</v>
      </c>
    </row>
    <row r="99" spans="1:14" x14ac:dyDescent="0.2">
      <c r="A99" s="27">
        <v>9</v>
      </c>
      <c r="B99" s="6">
        <f t="shared" si="10"/>
        <v>1990</v>
      </c>
      <c r="C99" t="s">
        <v>6</v>
      </c>
      <c r="D99">
        <v>2.7344220073490999</v>
      </c>
      <c r="E99">
        <v>7.5395248786336397</v>
      </c>
      <c r="F99">
        <v>4.8255825252152196</v>
      </c>
      <c r="G99">
        <v>14.359243589347599</v>
      </c>
      <c r="H99">
        <v>3.69909386219866</v>
      </c>
      <c r="I99">
        <v>1.2654159740362501</v>
      </c>
      <c r="J99">
        <v>1.0944630630341601</v>
      </c>
      <c r="K99">
        <v>117.15777066846201</v>
      </c>
      <c r="L99">
        <v>10.9138225530954</v>
      </c>
      <c r="M99" s="10">
        <v>124.307195366451</v>
      </c>
      <c r="N99">
        <f t="shared" si="7"/>
        <v>0.13581456088801169</v>
      </c>
    </row>
    <row r="100" spans="1:14" x14ac:dyDescent="0.2">
      <c r="A100" s="27">
        <v>9</v>
      </c>
      <c r="B100" s="6">
        <f t="shared" si="10"/>
        <v>1991</v>
      </c>
      <c r="C100" t="s">
        <v>6</v>
      </c>
      <c r="D100">
        <v>1.7249747443910299</v>
      </c>
      <c r="E100">
        <v>7.18383035745771</v>
      </c>
      <c r="F100">
        <v>4.6825504790407502</v>
      </c>
      <c r="G100">
        <v>10.9974470625778</v>
      </c>
      <c r="H100">
        <v>6.2800478714310097</v>
      </c>
      <c r="I100">
        <v>-1.4264228607614899</v>
      </c>
      <c r="J100">
        <v>1.91879800522746</v>
      </c>
      <c r="K100">
        <v>97.019700286243506</v>
      </c>
      <c r="L100">
        <v>11.9702536336974</v>
      </c>
      <c r="M100" s="10">
        <v>110.94118957451499</v>
      </c>
      <c r="N100">
        <f t="shared" si="7"/>
        <v>-0.17188847369933369</v>
      </c>
    </row>
    <row r="101" spans="1:14" x14ac:dyDescent="0.2">
      <c r="A101" s="27">
        <v>9</v>
      </c>
      <c r="B101" s="6">
        <f t="shared" si="10"/>
        <v>1992</v>
      </c>
      <c r="C101" t="s">
        <v>6</v>
      </c>
      <c r="D101">
        <v>-5.7449572042317598E-2</v>
      </c>
      <c r="E101">
        <v>3.9135801017949299</v>
      </c>
      <c r="F101">
        <v>8.8709019181063802</v>
      </c>
      <c r="G101">
        <v>19.435522888936902</v>
      </c>
      <c r="H101">
        <v>4.76799452897931</v>
      </c>
      <c r="I101">
        <v>1.13797197815245</v>
      </c>
      <c r="J101">
        <v>3.0120103266359801</v>
      </c>
      <c r="K101">
        <v>101.22916315878101</v>
      </c>
      <c r="L101">
        <v>14.774726868413399</v>
      </c>
      <c r="M101" s="10">
        <v>101.31098240142499</v>
      </c>
      <c r="N101">
        <f t="shared" si="7"/>
        <v>4.3387712599792128E-2</v>
      </c>
    </row>
    <row r="102" spans="1:14" x14ac:dyDescent="0.2">
      <c r="A102" s="27">
        <v>9</v>
      </c>
      <c r="B102" s="6">
        <f t="shared" si="10"/>
        <v>1993</v>
      </c>
      <c r="C102" t="s">
        <v>6</v>
      </c>
      <c r="D102">
        <v>-1.46438126533376</v>
      </c>
      <c r="E102">
        <v>3.5093390382377501</v>
      </c>
      <c r="F102">
        <v>13.2792428629729</v>
      </c>
      <c r="G102">
        <v>8.1974511802188399</v>
      </c>
      <c r="H102">
        <v>4.5771926825098204</v>
      </c>
      <c r="I102">
        <v>-0.54650518483337096</v>
      </c>
      <c r="J102">
        <v>0.50052114234402001</v>
      </c>
      <c r="K102">
        <v>93.248021552449899</v>
      </c>
      <c r="L102">
        <v>-0.93315930258789503</v>
      </c>
      <c r="M102" s="10">
        <v>122.285586990421</v>
      </c>
      <c r="N102">
        <f t="shared" si="7"/>
        <v>-7.8842315369262117E-2</v>
      </c>
    </row>
    <row r="103" spans="1:14" x14ac:dyDescent="0.2">
      <c r="A103" s="27">
        <v>9</v>
      </c>
      <c r="B103" s="6">
        <f t="shared" si="10"/>
        <v>1994</v>
      </c>
      <c r="C103" t="s">
        <v>6</v>
      </c>
      <c r="D103">
        <v>-1.29256541480256</v>
      </c>
      <c r="E103">
        <v>3.4969966969543802</v>
      </c>
      <c r="F103">
        <v>11.8598052743067</v>
      </c>
      <c r="G103">
        <v>7.7288121635115203</v>
      </c>
      <c r="H103">
        <v>9.7165327406394209</v>
      </c>
      <c r="I103">
        <v>3.62035937623684</v>
      </c>
      <c r="J103">
        <v>-1.60303385019963</v>
      </c>
      <c r="K103">
        <v>124.633776730089</v>
      </c>
      <c r="L103">
        <v>-4.5890940732862902</v>
      </c>
      <c r="M103" s="10">
        <v>151.64067721096001</v>
      </c>
      <c r="N103">
        <f t="shared" si="7"/>
        <v>0.33658360418923561</v>
      </c>
    </row>
    <row r="104" spans="1:14" x14ac:dyDescent="0.2">
      <c r="A104" s="27">
        <v>9</v>
      </c>
      <c r="B104" s="6">
        <f t="shared" si="10"/>
        <v>1995</v>
      </c>
      <c r="C104" t="s">
        <v>6</v>
      </c>
      <c r="D104">
        <v>-0.87938365212757497</v>
      </c>
      <c r="E104">
        <v>2.8003009180350902</v>
      </c>
      <c r="F104">
        <v>1.2793205977806801</v>
      </c>
      <c r="G104">
        <v>9.0320455411094898</v>
      </c>
      <c r="H104">
        <v>9.2077278167207997</v>
      </c>
      <c r="I104">
        <v>3.9118182537797801</v>
      </c>
      <c r="J104">
        <v>-1.2004874685310201</v>
      </c>
      <c r="K104">
        <v>167.83970365381299</v>
      </c>
      <c r="L104">
        <v>-7.8982564697541102</v>
      </c>
      <c r="M104" s="10">
        <v>138.36823345956699</v>
      </c>
      <c r="N104">
        <f t="shared" si="7"/>
        <v>0.34666306403674318</v>
      </c>
    </row>
    <row r="105" spans="1:14" x14ac:dyDescent="0.2">
      <c r="A105" s="27">
        <v>9</v>
      </c>
      <c r="B105" s="6">
        <f t="shared" si="10"/>
        <v>1996</v>
      </c>
      <c r="C105" t="s">
        <v>6</v>
      </c>
      <c r="D105">
        <v>-0.63001365468088999</v>
      </c>
      <c r="E105">
        <v>1.6643353355353601</v>
      </c>
      <c r="F105">
        <v>-8.9109353440736996</v>
      </c>
      <c r="G105">
        <v>5.2695510741895903</v>
      </c>
      <c r="H105">
        <v>7.2750897589331496</v>
      </c>
      <c r="I105">
        <v>2.3980052244122501</v>
      </c>
      <c r="J105">
        <v>-2.0486827125058</v>
      </c>
      <c r="K105">
        <v>196.868159622832</v>
      </c>
      <c r="L105">
        <v>5.7425311805085499</v>
      </c>
      <c r="M105" s="10">
        <v>130.39541100467801</v>
      </c>
      <c r="N105">
        <f t="shared" si="7"/>
        <v>0.17295345104334348</v>
      </c>
    </row>
    <row r="106" spans="1:14" x14ac:dyDescent="0.2">
      <c r="A106" s="27">
        <v>9</v>
      </c>
      <c r="B106" s="6">
        <f t="shared" si="10"/>
        <v>1997</v>
      </c>
      <c r="C106" t="s">
        <v>6</v>
      </c>
      <c r="D106">
        <v>-0.71246350425737304</v>
      </c>
      <c r="E106">
        <v>0.67929895501510196</v>
      </c>
      <c r="F106">
        <v>-5.7789999416988902</v>
      </c>
      <c r="G106">
        <v>3.84690610749101</v>
      </c>
      <c r="H106">
        <v>3.70524876047187</v>
      </c>
      <c r="I106">
        <v>2.8878334520699802</v>
      </c>
      <c r="J106">
        <v>-2.8930295207093901</v>
      </c>
      <c r="K106">
        <v>267.385081663579</v>
      </c>
      <c r="L106">
        <v>-1.58480776048212</v>
      </c>
      <c r="M106" s="10">
        <v>126.49587881488</v>
      </c>
      <c r="N106">
        <f t="shared" si="7"/>
        <v>0.35819363667464654</v>
      </c>
    </row>
    <row r="107" spans="1:14" x14ac:dyDescent="0.2">
      <c r="A107" s="27">
        <v>9</v>
      </c>
      <c r="B107" s="6">
        <f t="shared" si="10"/>
        <v>1998</v>
      </c>
      <c r="C107" t="s">
        <v>6</v>
      </c>
      <c r="D107">
        <v>-4.01203388137059E-2</v>
      </c>
      <c r="E107">
        <v>0.75876012365850398</v>
      </c>
      <c r="F107">
        <v>5.1110636065061499E-2</v>
      </c>
      <c r="G107">
        <v>3.9812441452291898</v>
      </c>
      <c r="H107">
        <v>3.3975038468114098</v>
      </c>
      <c r="I107">
        <v>4.5712024063959502</v>
      </c>
      <c r="J107">
        <v>-1.7233616086461501</v>
      </c>
      <c r="K107">
        <v>323.48880282875899</v>
      </c>
      <c r="L107">
        <v>0.69628412130586503</v>
      </c>
      <c r="M107" s="10">
        <v>116.06036979282599</v>
      </c>
      <c r="N107">
        <f t="shared" si="7"/>
        <v>0.20982367758186715</v>
      </c>
    </row>
    <row r="108" spans="1:14" x14ac:dyDescent="0.2">
      <c r="A108" s="27">
        <v>9</v>
      </c>
      <c r="B108" s="6">
        <f t="shared" si="10"/>
        <v>1999</v>
      </c>
      <c r="C108" t="s">
        <v>6</v>
      </c>
      <c r="D108">
        <v>0.69928618212902005</v>
      </c>
      <c r="E108">
        <v>0.99032595535599199</v>
      </c>
      <c r="F108">
        <v>0.60535981499114599</v>
      </c>
      <c r="G108">
        <v>3.1057307268665699</v>
      </c>
      <c r="H108">
        <v>3.3687809882030999</v>
      </c>
      <c r="I108">
        <v>4.4703554183487704</v>
      </c>
      <c r="J108">
        <v>-1.8113625066145</v>
      </c>
      <c r="K108">
        <v>366.99781107930602</v>
      </c>
      <c r="L108">
        <v>-1.21225305359503</v>
      </c>
      <c r="M108" s="10">
        <v>115.686121630652</v>
      </c>
      <c r="N108">
        <f t="shared" si="7"/>
        <v>0.13449927128877714</v>
      </c>
    </row>
    <row r="109" spans="1:14" ht="16" thickBot="1" x14ac:dyDescent="0.25">
      <c r="A109" s="28">
        <v>9</v>
      </c>
      <c r="B109" s="7">
        <f t="shared" si="10"/>
        <v>2000</v>
      </c>
      <c r="C109" s="8" t="s">
        <v>6</v>
      </c>
      <c r="D109" s="8">
        <v>1.18372761686963</v>
      </c>
      <c r="E109" s="8">
        <v>0.63757008686657402</v>
      </c>
      <c r="F109" s="8">
        <v>-4.41086732611695</v>
      </c>
      <c r="G109" s="8">
        <v>3.9050677866650201</v>
      </c>
      <c r="H109" s="8">
        <v>3.5021371174559701</v>
      </c>
      <c r="I109" s="8">
        <v>5.4987730546980202</v>
      </c>
      <c r="J109" s="8">
        <v>-1.12993281272549</v>
      </c>
      <c r="K109" s="8">
        <v>553.49385418420604</v>
      </c>
      <c r="L109" s="8">
        <v>2.0787005704335101E-2</v>
      </c>
      <c r="M109" s="11">
        <v>121.370015593673</v>
      </c>
      <c r="N109">
        <f t="shared" si="7"/>
        <v>0.50816663608001567</v>
      </c>
    </row>
    <row r="110" spans="1:14" x14ac:dyDescent="0.2">
      <c r="A110">
        <v>10</v>
      </c>
      <c r="B110" s="4">
        <v>1987</v>
      </c>
      <c r="C110" s="5" t="s">
        <v>0</v>
      </c>
      <c r="D110" s="5">
        <v>1.03643897538924</v>
      </c>
      <c r="E110" s="5">
        <v>1.65172326620038</v>
      </c>
      <c r="F110" s="5">
        <v>14.820739106453299</v>
      </c>
      <c r="G110" s="5">
        <v>4.0639545092318698</v>
      </c>
      <c r="H110" s="5">
        <v>7.4358899168658397</v>
      </c>
      <c r="I110" s="5">
        <v>3.588839560582</v>
      </c>
      <c r="J110" s="5">
        <v>-1.6147087664247799</v>
      </c>
      <c r="K110" s="5">
        <v>76.634746922024604</v>
      </c>
      <c r="L110" s="5">
        <v>-17.34497921605</v>
      </c>
      <c r="M110" s="9">
        <v>95.682239838084001</v>
      </c>
    </row>
    <row r="111" spans="1:14" x14ac:dyDescent="0.2">
      <c r="A111">
        <v>10</v>
      </c>
      <c r="B111" s="6">
        <f>B110+1</f>
        <v>1988</v>
      </c>
      <c r="C111" t="s">
        <v>0</v>
      </c>
      <c r="D111">
        <v>0.93500753390255997</v>
      </c>
      <c r="E111">
        <v>2.0231454172635499</v>
      </c>
      <c r="F111">
        <v>10.0498621070049</v>
      </c>
      <c r="G111">
        <v>6.7743560652106298</v>
      </c>
      <c r="H111">
        <v>8.9072328196706891</v>
      </c>
      <c r="I111">
        <v>4.9253702323471202</v>
      </c>
      <c r="J111">
        <v>-0.57991763090802395</v>
      </c>
      <c r="K111">
        <v>90.177838577291297</v>
      </c>
      <c r="L111">
        <v>-5.29836133154694</v>
      </c>
      <c r="M111" s="10">
        <v>94.227525721032094</v>
      </c>
      <c r="N111">
        <f t="shared" si="7"/>
        <v>0.17672259907175936</v>
      </c>
    </row>
    <row r="112" spans="1:14" x14ac:dyDescent="0.2">
      <c r="A112">
        <v>10</v>
      </c>
      <c r="B112" s="6">
        <f t="shared" ref="B112:B136" si="11">B111+1</f>
        <v>1989</v>
      </c>
      <c r="C112" t="s">
        <v>0</v>
      </c>
      <c r="D112">
        <v>0.43224510296333302</v>
      </c>
      <c r="E112">
        <v>2.7695289458161199</v>
      </c>
      <c r="F112">
        <v>4.6303364589078697</v>
      </c>
      <c r="G112">
        <v>6.9749314531923199</v>
      </c>
      <c r="H112">
        <v>8.9072328196706891</v>
      </c>
      <c r="I112">
        <v>3.1564211413201999</v>
      </c>
      <c r="J112">
        <v>0.33990978623259199</v>
      </c>
      <c r="K112">
        <v>74.664842681258506</v>
      </c>
      <c r="L112">
        <v>14.6454704730495</v>
      </c>
      <c r="M112" s="10">
        <v>85.328470231067598</v>
      </c>
      <c r="N112">
        <f t="shared" si="7"/>
        <v>-0.17202669902912593</v>
      </c>
    </row>
    <row r="113" spans="1:14" x14ac:dyDescent="0.2">
      <c r="A113">
        <v>10</v>
      </c>
      <c r="B113" s="6">
        <f t="shared" si="11"/>
        <v>1990</v>
      </c>
      <c r="C113" t="s">
        <v>0</v>
      </c>
      <c r="D113">
        <v>-0.33174284279256799</v>
      </c>
      <c r="E113">
        <v>2.3902418471391198</v>
      </c>
      <c r="F113">
        <v>1.5909542195256401</v>
      </c>
      <c r="G113">
        <v>4.0676013344678896</v>
      </c>
      <c r="H113">
        <v>8.5139949855578401</v>
      </c>
      <c r="I113">
        <v>0.34959007096795602</v>
      </c>
      <c r="J113">
        <v>1.0009805844283099</v>
      </c>
      <c r="K113">
        <v>66.429548563611405</v>
      </c>
      <c r="L113">
        <v>18.5447799649593</v>
      </c>
      <c r="M113" s="10">
        <v>77.9031033901163</v>
      </c>
      <c r="N113">
        <f t="shared" si="7"/>
        <v>-0.11029681201905528</v>
      </c>
    </row>
    <row r="114" spans="1:14" x14ac:dyDescent="0.2">
      <c r="A114">
        <v>10</v>
      </c>
      <c r="B114" s="6">
        <f t="shared" si="11"/>
        <v>1991</v>
      </c>
      <c r="C114" t="s">
        <v>0</v>
      </c>
      <c r="D114">
        <v>-1.1133098945253601</v>
      </c>
      <c r="E114">
        <v>1.4069267717198899</v>
      </c>
      <c r="F114">
        <v>1.7842250413678999</v>
      </c>
      <c r="G114">
        <v>1.9575752664208399</v>
      </c>
      <c r="H114">
        <v>8.1207571514449892</v>
      </c>
      <c r="I114">
        <v>-1.4181924236041299</v>
      </c>
      <c r="J114">
        <v>-1.3524220435379499</v>
      </c>
      <c r="K114">
        <v>53.324213406292699</v>
      </c>
      <c r="L114">
        <v>11.3966470850939</v>
      </c>
      <c r="M114" s="10">
        <v>68.991398212177501</v>
      </c>
      <c r="N114">
        <f t="shared" si="7"/>
        <v>-0.19728171334431599</v>
      </c>
    </row>
    <row r="115" spans="1:14" x14ac:dyDescent="0.2">
      <c r="A115">
        <v>10</v>
      </c>
      <c r="B115" s="6">
        <f t="shared" si="11"/>
        <v>1992</v>
      </c>
      <c r="C115" t="s">
        <v>0</v>
      </c>
      <c r="D115">
        <v>-1.2507785032646901</v>
      </c>
      <c r="E115">
        <v>0.68561276368641</v>
      </c>
      <c r="F115">
        <v>3.7231108659680099</v>
      </c>
      <c r="G115">
        <v>1.1223172197684901</v>
      </c>
      <c r="H115">
        <v>8.1207571514449892</v>
      </c>
      <c r="I115">
        <v>1.46757834019248</v>
      </c>
      <c r="J115">
        <v>-1.92547558344773</v>
      </c>
      <c r="K115">
        <v>74.199726402188702</v>
      </c>
      <c r="L115">
        <v>-5.1697069634820902</v>
      </c>
      <c r="M115" s="10">
        <v>66.056670602125195</v>
      </c>
      <c r="N115">
        <f t="shared" si="7"/>
        <v>0.39148281169830668</v>
      </c>
    </row>
    <row r="116" spans="1:14" x14ac:dyDescent="0.2">
      <c r="A116">
        <v>10</v>
      </c>
      <c r="B116" s="6">
        <f t="shared" si="11"/>
        <v>1993</v>
      </c>
      <c r="C116" t="s">
        <v>0</v>
      </c>
      <c r="D116">
        <v>-1.21263184329482</v>
      </c>
      <c r="E116">
        <v>0.228266059942136</v>
      </c>
      <c r="F116">
        <v>5.0080529509100904</v>
      </c>
      <c r="G116">
        <v>0.20736928832880899</v>
      </c>
      <c r="H116">
        <v>8.8465316774921998</v>
      </c>
      <c r="I116">
        <v>2.7030039858712098</v>
      </c>
      <c r="J116">
        <v>-2.0680917827024898</v>
      </c>
      <c r="K116">
        <v>73.269493844049194</v>
      </c>
      <c r="L116">
        <v>1.5215225531622401</v>
      </c>
      <c r="M116" s="10">
        <v>58.643953449148199</v>
      </c>
      <c r="N116">
        <f t="shared" si="7"/>
        <v>-1.2536873156341888E-2</v>
      </c>
    </row>
    <row r="117" spans="1:14" x14ac:dyDescent="0.2">
      <c r="A117">
        <v>10</v>
      </c>
      <c r="B117" s="6">
        <f t="shared" si="11"/>
        <v>1994</v>
      </c>
      <c r="C117" t="s">
        <v>0</v>
      </c>
      <c r="D117">
        <v>-0.84505273731793196</v>
      </c>
      <c r="E117">
        <v>0.22512008089660099</v>
      </c>
      <c r="F117">
        <v>4.1273028130170903</v>
      </c>
      <c r="G117">
        <v>0.169415292353818</v>
      </c>
      <c r="H117">
        <v>9.5709866134920603</v>
      </c>
      <c r="I117">
        <v>1.5500178230013899</v>
      </c>
      <c r="J117">
        <v>-2.3536771916061898</v>
      </c>
      <c r="K117">
        <v>73.269493844049194</v>
      </c>
      <c r="L117">
        <v>12.9813803291078</v>
      </c>
      <c r="M117" s="10">
        <v>66.1515432619329</v>
      </c>
      <c r="N117">
        <f t="shared" si="7"/>
        <v>0</v>
      </c>
    </row>
    <row r="118" spans="1:14" x14ac:dyDescent="0.2">
      <c r="A118">
        <v>10</v>
      </c>
      <c r="B118" s="6">
        <f t="shared" si="11"/>
        <v>1995</v>
      </c>
      <c r="C118" t="s">
        <v>0</v>
      </c>
      <c r="D118">
        <v>-1.0514314414866901</v>
      </c>
      <c r="E118">
        <v>0.33218168028987799</v>
      </c>
      <c r="F118">
        <v>5.4087148372862597</v>
      </c>
      <c r="G118">
        <v>0.169415292353818</v>
      </c>
      <c r="H118">
        <v>10.6715247129891</v>
      </c>
      <c r="I118">
        <v>-0.73378917009623701</v>
      </c>
      <c r="J118">
        <v>-1.6640125514806801</v>
      </c>
      <c r="K118">
        <v>59.699042407660698</v>
      </c>
      <c r="L118">
        <v>19.998454086365001</v>
      </c>
      <c r="M118" s="10">
        <v>66.202142013830397</v>
      </c>
      <c r="N118">
        <f t="shared" si="7"/>
        <v>-0.1852128454070201</v>
      </c>
    </row>
    <row r="119" spans="1:14" x14ac:dyDescent="0.2">
      <c r="A119">
        <v>10</v>
      </c>
      <c r="B119" s="6">
        <f t="shared" si="11"/>
        <v>1996</v>
      </c>
      <c r="C119" t="s">
        <v>0</v>
      </c>
      <c r="D119">
        <v>-1.3799849321948701</v>
      </c>
      <c r="E119">
        <v>-0.16399820229768999</v>
      </c>
      <c r="F119">
        <v>6.25239933811363</v>
      </c>
      <c r="G119">
        <v>1.19264691978315E-2</v>
      </c>
      <c r="H119">
        <v>12.1507851560782</v>
      </c>
      <c r="I119">
        <v>-0.12599241712304299</v>
      </c>
      <c r="J119">
        <v>-0.91657187683859698</v>
      </c>
      <c r="K119">
        <v>53.351573187414402</v>
      </c>
      <c r="L119">
        <v>7.2015527843622298</v>
      </c>
      <c r="M119" s="10">
        <v>49.871394838927301</v>
      </c>
      <c r="N119">
        <f t="shared" si="7"/>
        <v>-0.10632447296058767</v>
      </c>
    </row>
    <row r="120" spans="1:14" x14ac:dyDescent="0.2">
      <c r="A120">
        <v>10</v>
      </c>
      <c r="B120" s="6">
        <f t="shared" si="11"/>
        <v>1997</v>
      </c>
      <c r="C120" t="s">
        <v>0</v>
      </c>
      <c r="D120">
        <v>-1.0990708186840701</v>
      </c>
      <c r="E120">
        <v>-0.39306480155051898</v>
      </c>
      <c r="F120">
        <v>5.1624931053502303</v>
      </c>
      <c r="G120">
        <v>1.35472804138458E-2</v>
      </c>
      <c r="H120">
        <v>14.755655909564</v>
      </c>
      <c r="I120">
        <v>1.5243527009948401</v>
      </c>
      <c r="J120">
        <v>-1.5764659737203299</v>
      </c>
      <c r="K120">
        <v>73.406292749657993</v>
      </c>
      <c r="L120">
        <v>-7.8437940155965498</v>
      </c>
      <c r="M120" s="10">
        <v>51.414656771799599</v>
      </c>
      <c r="N120">
        <f t="shared" si="7"/>
        <v>0.37589743589743829</v>
      </c>
    </row>
    <row r="121" spans="1:14" x14ac:dyDescent="0.2">
      <c r="A121">
        <v>10</v>
      </c>
      <c r="B121" s="6">
        <f t="shared" si="11"/>
        <v>1998</v>
      </c>
      <c r="C121" t="s">
        <v>0</v>
      </c>
      <c r="D121">
        <v>-1.1314163736815599</v>
      </c>
      <c r="E121">
        <v>-0.85237774219825302</v>
      </c>
      <c r="F121">
        <v>3.2077220077220101</v>
      </c>
      <c r="G121">
        <v>-0.184191687939815</v>
      </c>
      <c r="H121">
        <v>16.240194712842499</v>
      </c>
      <c r="I121">
        <v>1.71956317443857</v>
      </c>
      <c r="J121">
        <v>-1.37442635810943</v>
      </c>
      <c r="K121">
        <v>49.5759233926128</v>
      </c>
      <c r="L121">
        <v>3.3335051015150099</v>
      </c>
      <c r="M121" s="10">
        <v>55.924270534660003</v>
      </c>
      <c r="N121">
        <f t="shared" si="7"/>
        <v>-0.32463660081997836</v>
      </c>
    </row>
    <row r="122" spans="1:14" x14ac:dyDescent="0.2">
      <c r="A122">
        <v>10</v>
      </c>
      <c r="B122" s="6">
        <f t="shared" si="11"/>
        <v>1999</v>
      </c>
      <c r="C122" t="s">
        <v>0</v>
      </c>
      <c r="D122">
        <v>-1.4425665494726201</v>
      </c>
      <c r="E122">
        <v>-0.85237774219825302</v>
      </c>
      <c r="F122">
        <v>3.8422504136789599</v>
      </c>
      <c r="G122">
        <v>-0.184191687939815</v>
      </c>
      <c r="H122">
        <v>21.079131416506598</v>
      </c>
      <c r="I122">
        <v>0.67001523056482803</v>
      </c>
      <c r="J122">
        <v>-1.45914885271622</v>
      </c>
      <c r="K122">
        <v>37.674418604651102</v>
      </c>
      <c r="L122">
        <v>12.566560170394</v>
      </c>
      <c r="M122" s="10">
        <v>60.446533985495002</v>
      </c>
      <c r="N122">
        <f t="shared" si="7"/>
        <v>-0.2400662251655632</v>
      </c>
    </row>
    <row r="123" spans="1:14" x14ac:dyDescent="0.2">
      <c r="A123">
        <v>10</v>
      </c>
      <c r="B123" s="6">
        <f t="shared" si="11"/>
        <v>2000</v>
      </c>
      <c r="C123" t="s">
        <v>0</v>
      </c>
      <c r="D123">
        <v>-1.0920391762933199</v>
      </c>
      <c r="E123">
        <v>-0.40958119153956501</v>
      </c>
      <c r="F123">
        <v>2.5273028130171</v>
      </c>
      <c r="G123">
        <v>-0.18230074152113501</v>
      </c>
      <c r="H123">
        <v>21.063296335938301</v>
      </c>
      <c r="I123">
        <v>2.00421270942027</v>
      </c>
      <c r="J123">
        <v>-0.76924887232790695</v>
      </c>
      <c r="K123">
        <v>42.708618331053302</v>
      </c>
      <c r="L123">
        <v>-1.50125390772612</v>
      </c>
      <c r="M123" s="10">
        <v>67.966773486253999</v>
      </c>
      <c r="N123">
        <f t="shared" si="7"/>
        <v>0.13362381989833017</v>
      </c>
    </row>
    <row r="124" spans="1:14" x14ac:dyDescent="0.2">
      <c r="A124">
        <v>10</v>
      </c>
      <c r="B124" s="6">
        <f t="shared" si="11"/>
        <v>2001</v>
      </c>
      <c r="C124" t="s">
        <v>0</v>
      </c>
      <c r="D124">
        <v>-0.51491712707182402</v>
      </c>
      <c r="E124">
        <v>-0.60138760147187398</v>
      </c>
      <c r="F124">
        <v>-1.3822393822393899</v>
      </c>
      <c r="G124">
        <v>-0.140429785107446</v>
      </c>
      <c r="H124">
        <v>17.3235781417239</v>
      </c>
      <c r="I124">
        <v>1.37541722025989</v>
      </c>
      <c r="J124">
        <v>-1.42914296920965</v>
      </c>
      <c r="K124">
        <v>49.521203830369302</v>
      </c>
      <c r="L124">
        <v>-3.3048198151774302</v>
      </c>
      <c r="M124" s="10">
        <v>73.981700118063699</v>
      </c>
      <c r="N124">
        <f t="shared" si="7"/>
        <v>0.15951313260730315</v>
      </c>
    </row>
    <row r="125" spans="1:14" x14ac:dyDescent="0.2">
      <c r="A125">
        <v>10</v>
      </c>
      <c r="B125" s="6">
        <f t="shared" si="11"/>
        <v>2002</v>
      </c>
      <c r="C125" t="s">
        <v>0</v>
      </c>
      <c r="D125">
        <v>0.18385233550979199</v>
      </c>
      <c r="E125">
        <v>-0.45588607061599601</v>
      </c>
      <c r="F125">
        <v>-2.6954219525648102</v>
      </c>
      <c r="G125">
        <v>9.95853424639037E-2</v>
      </c>
      <c r="H125">
        <v>17.679867454510799</v>
      </c>
      <c r="I125">
        <v>1.36258465925661</v>
      </c>
      <c r="J125">
        <v>-1.4567954500882501</v>
      </c>
      <c r="K125">
        <v>69.740082079343296</v>
      </c>
      <c r="L125">
        <v>0.87704833556631401</v>
      </c>
      <c r="M125" s="10">
        <v>117.31953111823201</v>
      </c>
      <c r="N125">
        <f t="shared" si="7"/>
        <v>0.40828729281767973</v>
      </c>
    </row>
    <row r="126" spans="1:14" x14ac:dyDescent="0.2">
      <c r="A126">
        <v>10</v>
      </c>
      <c r="B126" s="6">
        <f t="shared" si="11"/>
        <v>2003</v>
      </c>
      <c r="C126" t="s">
        <v>0</v>
      </c>
      <c r="D126">
        <v>0.51750376695127898</v>
      </c>
      <c r="E126">
        <v>-0.19703098227578</v>
      </c>
      <c r="F126">
        <v>-5.5168229453943596</v>
      </c>
      <c r="G126">
        <v>0.34000567283925398</v>
      </c>
      <c r="H126">
        <v>19.151210357315701</v>
      </c>
      <c r="I126">
        <v>0.52341294273956096</v>
      </c>
      <c r="J126">
        <v>-1.42667189645028</v>
      </c>
      <c r="K126">
        <v>69.384404924760503</v>
      </c>
      <c r="L126">
        <v>-4.0334604417877804</v>
      </c>
      <c r="M126" s="10">
        <v>141.25906560971401</v>
      </c>
      <c r="N126">
        <f t="shared" si="7"/>
        <v>-5.1000392310713849E-3</v>
      </c>
    </row>
    <row r="127" spans="1:14" x14ac:dyDescent="0.2">
      <c r="A127">
        <v>10</v>
      </c>
      <c r="B127" s="6">
        <f t="shared" si="11"/>
        <v>2004</v>
      </c>
      <c r="C127" t="s">
        <v>0</v>
      </c>
      <c r="D127">
        <v>-2.0592667001508799E-2</v>
      </c>
      <c r="E127">
        <v>0.73801297716355996</v>
      </c>
      <c r="F127">
        <v>-4.2389409817981196</v>
      </c>
      <c r="G127">
        <v>0.30151140645893099</v>
      </c>
      <c r="H127">
        <v>22.493731947274998</v>
      </c>
      <c r="I127">
        <v>-1.13626494701707</v>
      </c>
      <c r="J127">
        <v>-1.1963914493037799</v>
      </c>
      <c r="K127">
        <v>60.4924760601914</v>
      </c>
      <c r="L127">
        <v>-8.3463877151396808</v>
      </c>
      <c r="M127" s="10">
        <v>157.70998482037399</v>
      </c>
      <c r="N127">
        <f t="shared" si="7"/>
        <v>-0.12815457413249254</v>
      </c>
    </row>
    <row r="128" spans="1:14" x14ac:dyDescent="0.2">
      <c r="A128">
        <v>10</v>
      </c>
      <c r="B128" s="6">
        <f t="shared" si="11"/>
        <v>2005</v>
      </c>
      <c r="C128" t="s">
        <v>0</v>
      </c>
      <c r="D128">
        <v>-1.53362631843294</v>
      </c>
      <c r="E128">
        <v>-0.28177579281480902</v>
      </c>
      <c r="F128">
        <v>5.2675124103695401</v>
      </c>
      <c r="G128">
        <v>2.3137080108593701E-2</v>
      </c>
      <c r="H128">
        <v>26.2215738310631</v>
      </c>
      <c r="I128">
        <v>-9.0092355552674999</v>
      </c>
      <c r="J128">
        <v>-1.25240243184938</v>
      </c>
      <c r="K128">
        <v>45.581395348837098</v>
      </c>
      <c r="L128">
        <v>-2.2419183070527899</v>
      </c>
      <c r="M128" s="10">
        <v>156.27424523528401</v>
      </c>
      <c r="N128">
        <f t="shared" si="7"/>
        <v>-0.24649479873360503</v>
      </c>
    </row>
    <row r="129" spans="1:14" x14ac:dyDescent="0.2">
      <c r="A129">
        <v>10</v>
      </c>
      <c r="B129" s="6">
        <f t="shared" si="11"/>
        <v>2006</v>
      </c>
      <c r="C129" t="s">
        <v>0</v>
      </c>
      <c r="D129">
        <v>-1.1827473631340999</v>
      </c>
      <c r="E129">
        <v>-1.41767085194236</v>
      </c>
      <c r="F129">
        <v>9.1399889685604006</v>
      </c>
      <c r="G129">
        <v>2.5298161729942498E-2</v>
      </c>
      <c r="H129">
        <v>29.946776534756498</v>
      </c>
      <c r="I129">
        <v>3.9100424511487701</v>
      </c>
      <c r="J129">
        <v>-1.22263188860561</v>
      </c>
      <c r="K129">
        <v>50.123119015047799</v>
      </c>
      <c r="L129">
        <v>10.73894671751</v>
      </c>
      <c r="M129" s="10">
        <v>189.15710912464101</v>
      </c>
      <c r="N129">
        <f t="shared" si="7"/>
        <v>9.9639855942377897E-2</v>
      </c>
    </row>
    <row r="130" spans="1:14" x14ac:dyDescent="0.2">
      <c r="A130">
        <v>10</v>
      </c>
      <c r="B130" s="6">
        <f t="shared" si="11"/>
        <v>2007</v>
      </c>
      <c r="C130" t="s">
        <v>0</v>
      </c>
      <c r="D130">
        <v>-0.97144650929181398</v>
      </c>
      <c r="E130">
        <v>-0.81993483329119898</v>
      </c>
      <c r="F130">
        <v>6.9654715940430201</v>
      </c>
      <c r="G130">
        <v>2.71891081486259E-2</v>
      </c>
      <c r="H130">
        <v>29.946776534756498</v>
      </c>
      <c r="I130">
        <v>-0.33909070287436499</v>
      </c>
      <c r="J130">
        <v>-0.96316924887232902</v>
      </c>
      <c r="K130">
        <v>50.396716826265298</v>
      </c>
      <c r="L130">
        <v>10.553780617678299</v>
      </c>
      <c r="M130" s="10">
        <v>214.576657109124</v>
      </c>
      <c r="N130">
        <f t="shared" si="7"/>
        <v>5.4585152838426687E-3</v>
      </c>
    </row>
    <row r="131" spans="1:14" x14ac:dyDescent="0.2">
      <c r="A131">
        <v>10</v>
      </c>
      <c r="B131" s="6">
        <f t="shared" si="11"/>
        <v>2008</v>
      </c>
      <c r="C131" t="s">
        <v>0</v>
      </c>
      <c r="D131">
        <v>-0.76049723756906096</v>
      </c>
      <c r="E131">
        <v>-1.0117412432235</v>
      </c>
      <c r="F131">
        <v>4.7909542195256396</v>
      </c>
      <c r="G131">
        <v>2.71891081486259E-2</v>
      </c>
      <c r="H131">
        <v>29.946776534756498</v>
      </c>
      <c r="I131">
        <v>1.10321138079653</v>
      </c>
      <c r="J131">
        <v>-0.96316924887232902</v>
      </c>
      <c r="K131">
        <v>50.396716826265298</v>
      </c>
      <c r="L131">
        <v>13.855508605585801</v>
      </c>
      <c r="M131" s="10">
        <v>226.56223646483301</v>
      </c>
      <c r="N131">
        <f t="shared" si="7"/>
        <v>0</v>
      </c>
    </row>
    <row r="132" spans="1:14" x14ac:dyDescent="0.2">
      <c r="A132">
        <v>10</v>
      </c>
      <c r="B132" s="6">
        <f t="shared" si="11"/>
        <v>2009</v>
      </c>
      <c r="C132" t="s">
        <v>0</v>
      </c>
      <c r="D132">
        <v>-6.1376192867906597E-2</v>
      </c>
      <c r="E132">
        <v>0.90189882306676195</v>
      </c>
      <c r="F132">
        <v>5.4290126861555299</v>
      </c>
      <c r="G132">
        <v>-1.04947526236891E-2</v>
      </c>
      <c r="H132">
        <v>37.782502235971997</v>
      </c>
      <c r="I132">
        <v>1.5029650993227199</v>
      </c>
      <c r="J132">
        <v>-0.81843498725240205</v>
      </c>
      <c r="K132">
        <v>57.920656634746798</v>
      </c>
      <c r="L132">
        <v>-3.1016180562712599</v>
      </c>
      <c r="M132" s="10">
        <v>229.591836734693</v>
      </c>
      <c r="N132">
        <f t="shared" ref="N132:N195" si="12">K132/K131-1</f>
        <v>0.14929424538545022</v>
      </c>
    </row>
    <row r="133" spans="1:14" x14ac:dyDescent="0.2">
      <c r="A133">
        <v>10</v>
      </c>
      <c r="B133" s="6">
        <f t="shared" si="11"/>
        <v>2010</v>
      </c>
      <c r="C133" t="s">
        <v>0</v>
      </c>
      <c r="D133">
        <v>0.202310396785533</v>
      </c>
      <c r="E133">
        <v>1.0081739276986501</v>
      </c>
      <c r="F133">
        <v>3.4636514065085402</v>
      </c>
      <c r="G133">
        <v>-0.12908410659535</v>
      </c>
      <c r="H133">
        <v>58.679530225943097</v>
      </c>
      <c r="I133">
        <v>0.76489840889206495</v>
      </c>
      <c r="J133">
        <v>-0.64545989409688398</v>
      </c>
      <c r="K133">
        <v>63.2558139534883</v>
      </c>
      <c r="L133">
        <v>-14.355869318767301</v>
      </c>
      <c r="M133" s="10">
        <v>235.63206274245201</v>
      </c>
      <c r="N133">
        <f t="shared" si="12"/>
        <v>9.2111478507322708E-2</v>
      </c>
    </row>
    <row r="134" spans="1:14" x14ac:dyDescent="0.2">
      <c r="A134">
        <v>10</v>
      </c>
      <c r="B134" s="6">
        <f t="shared" si="11"/>
        <v>2011</v>
      </c>
      <c r="C134" t="s">
        <v>0</v>
      </c>
      <c r="D134">
        <v>0.16943746860873801</v>
      </c>
      <c r="E134">
        <v>0.51553327153731399</v>
      </c>
      <c r="F134">
        <v>3.43717595146166</v>
      </c>
      <c r="G134">
        <v>-0.366938152545351</v>
      </c>
      <c r="H134">
        <v>71.3673885312962</v>
      </c>
      <c r="I134">
        <v>0.95894228588094399</v>
      </c>
      <c r="J134">
        <v>-0.41435575603059499</v>
      </c>
      <c r="K134">
        <v>63.2558139534883</v>
      </c>
      <c r="L134">
        <v>-8.5339585695145601</v>
      </c>
      <c r="M134" s="10">
        <v>241.67228875020999</v>
      </c>
      <c r="N134">
        <f t="shared" si="12"/>
        <v>0</v>
      </c>
    </row>
    <row r="135" spans="1:14" x14ac:dyDescent="0.2">
      <c r="A135">
        <v>10</v>
      </c>
      <c r="B135" s="6">
        <f t="shared" si="11"/>
        <v>2012</v>
      </c>
      <c r="C135" t="s">
        <v>0</v>
      </c>
      <c r="D135">
        <v>0.32800100452033998</v>
      </c>
      <c r="E135">
        <v>-1.51540687059359E-2</v>
      </c>
      <c r="F135">
        <v>3.43717595146166</v>
      </c>
      <c r="G135">
        <v>-0.36558747653200602</v>
      </c>
      <c r="H135">
        <v>78.456226265706704</v>
      </c>
      <c r="I135">
        <v>0.95894228588094399</v>
      </c>
      <c r="J135">
        <v>-0.24126299274367799</v>
      </c>
      <c r="K135">
        <v>79.2886456908344</v>
      </c>
      <c r="L135">
        <v>-2.4944175340959802</v>
      </c>
      <c r="M135" s="10">
        <v>241.67228875020999</v>
      </c>
      <c r="N135">
        <f t="shared" si="12"/>
        <v>0.25346020761245702</v>
      </c>
    </row>
    <row r="136" spans="1:14" ht="16" thickBot="1" x14ac:dyDescent="0.25">
      <c r="A136">
        <v>10</v>
      </c>
      <c r="B136" s="7">
        <f t="shared" si="11"/>
        <v>2013</v>
      </c>
      <c r="C136" s="8" t="s">
        <v>0</v>
      </c>
      <c r="D136" s="8">
        <v>0.52154696132596501</v>
      </c>
      <c r="E136" s="8">
        <v>-0.13440633690064899</v>
      </c>
      <c r="F136" s="8">
        <v>3.43717595146166</v>
      </c>
      <c r="G136" s="8">
        <v>-0.125302213757986</v>
      </c>
      <c r="H136" s="8">
        <v>78.456226265706704</v>
      </c>
      <c r="I136" s="8">
        <v>1.04371496159953</v>
      </c>
      <c r="J136" s="8">
        <v>-0.24008629142969401</v>
      </c>
      <c r="K136" s="8">
        <v>79.2886456908344</v>
      </c>
      <c r="L136" s="8">
        <v>-1.09364801264214</v>
      </c>
      <c r="M136" s="11">
        <v>247.706189913982</v>
      </c>
      <c r="N136">
        <f t="shared" si="12"/>
        <v>0</v>
      </c>
    </row>
    <row r="137" spans="1:14" x14ac:dyDescent="0.2">
      <c r="A137" s="26">
        <v>11</v>
      </c>
      <c r="B137" s="4">
        <v>2005</v>
      </c>
      <c r="C137" s="5" t="s">
        <v>7</v>
      </c>
      <c r="D137" s="5">
        <v>1.44707765159819</v>
      </c>
      <c r="E137" s="5">
        <v>1.49071692653914</v>
      </c>
      <c r="F137" s="5">
        <v>6.6017236483890898</v>
      </c>
      <c r="G137" s="5">
        <v>2.4563435263500302</v>
      </c>
      <c r="H137" s="5">
        <v>8.7273569370111002</v>
      </c>
      <c r="I137" s="5">
        <v>3.2115562680523499</v>
      </c>
      <c r="J137" s="5">
        <v>-1.0583096039347599</v>
      </c>
      <c r="K137" s="5">
        <v>69.173634241950495</v>
      </c>
      <c r="L137" s="5">
        <v>3.4787111622554598</v>
      </c>
      <c r="M137" s="9">
        <v>78.232630581736998</v>
      </c>
    </row>
    <row r="138" spans="1:14" x14ac:dyDescent="0.2">
      <c r="A138" s="27">
        <v>11</v>
      </c>
      <c r="B138" s="6">
        <f>B137+1</f>
        <v>2006</v>
      </c>
      <c r="C138" t="s">
        <v>7</v>
      </c>
      <c r="D138">
        <v>1.57560178892445</v>
      </c>
      <c r="E138">
        <v>1.4816749718694699</v>
      </c>
      <c r="F138">
        <v>6.5055200173700998</v>
      </c>
      <c r="G138">
        <v>3.2472348731294698</v>
      </c>
      <c r="H138">
        <v>8.7273569370111002</v>
      </c>
      <c r="I138">
        <v>4.2899293798974503</v>
      </c>
      <c r="J138">
        <v>-0.55999223401501397</v>
      </c>
      <c r="K138">
        <v>89.736025196564896</v>
      </c>
      <c r="L138">
        <v>5.6674338319907802</v>
      </c>
      <c r="M138" s="10">
        <v>75.101559113023697</v>
      </c>
      <c r="N138">
        <f t="shared" si="12"/>
        <v>0.29725763551316042</v>
      </c>
    </row>
    <row r="139" spans="1:14" x14ac:dyDescent="0.2">
      <c r="A139" s="27">
        <v>11</v>
      </c>
      <c r="B139" s="6">
        <f t="shared" ref="B139:B149" si="13">B138+1</f>
        <v>2007</v>
      </c>
      <c r="C139" t="s">
        <v>7</v>
      </c>
      <c r="D139">
        <v>1.3939031876178301</v>
      </c>
      <c r="E139">
        <v>2.0698842629802301</v>
      </c>
      <c r="F139">
        <v>7.3920632004409397</v>
      </c>
      <c r="G139">
        <v>4.3285621340273197</v>
      </c>
      <c r="H139">
        <v>8.7551461506792805</v>
      </c>
      <c r="I139">
        <v>4.8369242250445597</v>
      </c>
      <c r="J139">
        <v>4.6595909914559598E-3</v>
      </c>
      <c r="K139">
        <v>109.137380191693</v>
      </c>
      <c r="L139">
        <v>7.74338319907939</v>
      </c>
      <c r="M139" s="10">
        <v>99.375391383933504</v>
      </c>
      <c r="N139">
        <f t="shared" si="12"/>
        <v>0.21620475113121884</v>
      </c>
    </row>
    <row r="140" spans="1:14" x14ac:dyDescent="0.2">
      <c r="A140" s="27">
        <v>11</v>
      </c>
      <c r="B140" s="6">
        <f t="shared" si="13"/>
        <v>2008</v>
      </c>
      <c r="C140" t="s">
        <v>7</v>
      </c>
      <c r="D140">
        <v>0.38450914193010799</v>
      </c>
      <c r="E140">
        <v>2.5452097733483301</v>
      </c>
      <c r="F140">
        <v>9.99824628797621</v>
      </c>
      <c r="G140">
        <v>3.6044242029928402</v>
      </c>
      <c r="H140">
        <v>12.2396047756278</v>
      </c>
      <c r="I140">
        <v>0.36698959355435901</v>
      </c>
      <c r="J140">
        <v>-1.2166709811029099E-2</v>
      </c>
      <c r="K140">
        <v>49.036322026601397</v>
      </c>
      <c r="L140">
        <v>3.48101265822784</v>
      </c>
      <c r="M140" s="10">
        <v>106.11923762423901</v>
      </c>
      <c r="N140">
        <f t="shared" si="12"/>
        <v>-0.55069178002557728</v>
      </c>
    </row>
    <row r="141" spans="1:14" x14ac:dyDescent="0.2">
      <c r="A141" s="27">
        <v>11</v>
      </c>
      <c r="B141" s="6">
        <f t="shared" si="13"/>
        <v>2009</v>
      </c>
      <c r="C141" t="s">
        <v>7</v>
      </c>
      <c r="D141">
        <v>-0.43582014293857202</v>
      </c>
      <c r="E141">
        <v>1.516195145475</v>
      </c>
      <c r="F141">
        <v>14.4804001803818</v>
      </c>
      <c r="G141">
        <v>0.38230318802862501</v>
      </c>
      <c r="H141">
        <v>12.7938452037875</v>
      </c>
      <c r="I141">
        <v>-4.0996282425130204</v>
      </c>
      <c r="J141">
        <v>-3.3104452498058499</v>
      </c>
      <c r="K141">
        <v>60.7132984388099</v>
      </c>
      <c r="L141">
        <v>10.857307249712299</v>
      </c>
      <c r="M141" s="10">
        <v>119.438333948843</v>
      </c>
      <c r="N141">
        <f t="shared" si="12"/>
        <v>0.23812912407814624</v>
      </c>
    </row>
    <row r="142" spans="1:14" x14ac:dyDescent="0.2">
      <c r="A142" s="27">
        <v>11</v>
      </c>
      <c r="B142" s="6">
        <f t="shared" si="13"/>
        <v>2010</v>
      </c>
      <c r="C142" t="s">
        <v>7</v>
      </c>
      <c r="D142">
        <v>-0.45354496426535801</v>
      </c>
      <c r="E142">
        <v>1.2396720784439801</v>
      </c>
      <c r="F142">
        <v>10.962286840479001</v>
      </c>
      <c r="G142">
        <v>0.61535458685751099</v>
      </c>
      <c r="H142">
        <v>13.610539316591099</v>
      </c>
      <c r="I142">
        <v>3.3269531088047</v>
      </c>
      <c r="J142">
        <v>-2.2112347916127302</v>
      </c>
      <c r="K142">
        <v>62.096390456121298</v>
      </c>
      <c r="L142">
        <v>2.1864211737629001E-2</v>
      </c>
      <c r="M142" s="10">
        <v>158.938004784919</v>
      </c>
      <c r="N142">
        <f t="shared" si="12"/>
        <v>2.278070954595468E-2</v>
      </c>
    </row>
    <row r="143" spans="1:14" x14ac:dyDescent="0.2">
      <c r="A143" s="27">
        <v>11</v>
      </c>
      <c r="B143" s="6">
        <f t="shared" si="13"/>
        <v>2011</v>
      </c>
      <c r="C143" t="s">
        <v>7</v>
      </c>
      <c r="D143">
        <v>-0.56380716446704904</v>
      </c>
      <c r="E143">
        <v>3.1801559234849699</v>
      </c>
      <c r="F143">
        <v>3.92071551450571</v>
      </c>
      <c r="G143">
        <v>0.74222511385816503</v>
      </c>
      <c r="H143">
        <v>15.3720666941127</v>
      </c>
      <c r="I143">
        <v>4.2111554886054199</v>
      </c>
      <c r="J143">
        <v>-1.8252006212787899</v>
      </c>
      <c r="K143">
        <v>45.007590691772599</v>
      </c>
      <c r="L143">
        <v>-2.3394706559263501</v>
      </c>
      <c r="M143" s="10">
        <v>198.425633038423</v>
      </c>
      <c r="N143">
        <f t="shared" si="12"/>
        <v>-0.2751979565772672</v>
      </c>
    </row>
    <row r="144" spans="1:14" x14ac:dyDescent="0.2">
      <c r="A144" s="27">
        <v>11</v>
      </c>
      <c r="B144" s="6">
        <f t="shared" si="13"/>
        <v>2012</v>
      </c>
      <c r="C144" t="s">
        <v>7</v>
      </c>
      <c r="D144">
        <v>-1.02541982724602</v>
      </c>
      <c r="E144">
        <v>2.5354042758398898</v>
      </c>
      <c r="F144">
        <v>-5.4818532560586499</v>
      </c>
      <c r="G144">
        <v>0.231620039037082</v>
      </c>
      <c r="H144">
        <v>15.799711815561899</v>
      </c>
      <c r="I144">
        <v>0.63039843005016505</v>
      </c>
      <c r="J144">
        <v>-1.7743981361636001</v>
      </c>
      <c r="K144">
        <v>54.679718124759198</v>
      </c>
      <c r="L144">
        <v>-3.6812428078250798</v>
      </c>
      <c r="M144" s="10">
        <v>218.31997944732501</v>
      </c>
      <c r="N144">
        <f t="shared" si="12"/>
        <v>0.21489991542148168</v>
      </c>
    </row>
    <row r="145" spans="1:14" x14ac:dyDescent="0.2">
      <c r="A145" s="27">
        <v>11</v>
      </c>
      <c r="B145" s="6">
        <f t="shared" si="13"/>
        <v>2013</v>
      </c>
      <c r="C145" t="s">
        <v>7</v>
      </c>
      <c r="D145">
        <v>-1.0640154338580201</v>
      </c>
      <c r="E145">
        <v>2.2364169747628999</v>
      </c>
      <c r="F145">
        <v>-8.1548444206904591</v>
      </c>
      <c r="G145">
        <v>0.14066363044892599</v>
      </c>
      <c r="H145">
        <v>12.9080897488678</v>
      </c>
      <c r="I145">
        <v>0.93195041390842803</v>
      </c>
      <c r="J145">
        <v>-1.8818275951333101</v>
      </c>
      <c r="K145">
        <v>60.040785806539297</v>
      </c>
      <c r="L145">
        <v>0.52589182968929205</v>
      </c>
      <c r="M145" s="10">
        <v>154.15308530965501</v>
      </c>
      <c r="N145">
        <f t="shared" si="12"/>
        <v>9.8044903405465567E-2</v>
      </c>
    </row>
    <row r="146" spans="1:14" x14ac:dyDescent="0.2">
      <c r="A146" s="27">
        <v>11</v>
      </c>
      <c r="B146" s="6">
        <f t="shared" si="13"/>
        <v>2014</v>
      </c>
      <c r="C146" t="s">
        <v>7</v>
      </c>
      <c r="D146">
        <v>-1.0910246854036001</v>
      </c>
      <c r="E146">
        <v>2.0157129078926199</v>
      </c>
      <c r="F146">
        <v>-9.4976867703305299</v>
      </c>
      <c r="G146">
        <v>-2.3292127521147E-2</v>
      </c>
      <c r="H146">
        <v>12.926615891313199</v>
      </c>
      <c r="I146">
        <v>0.91370803908290499</v>
      </c>
      <c r="J146">
        <v>-0.95961687807403695</v>
      </c>
      <c r="K146">
        <v>48.497043029025903</v>
      </c>
      <c r="L146">
        <v>-6.0126582278480996</v>
      </c>
      <c r="M146" s="10">
        <v>153.27799097609099</v>
      </c>
      <c r="N146">
        <f t="shared" si="12"/>
        <v>-0.19226501822792796</v>
      </c>
    </row>
    <row r="147" spans="1:14" x14ac:dyDescent="0.2">
      <c r="A147" s="27">
        <v>11</v>
      </c>
      <c r="B147" s="6">
        <f t="shared" si="13"/>
        <v>2015</v>
      </c>
      <c r="C147" t="s">
        <v>7</v>
      </c>
      <c r="D147">
        <v>-1.1504910773008199</v>
      </c>
      <c r="E147">
        <v>1.7526523067030999</v>
      </c>
      <c r="F147">
        <v>-9.0306983114258301</v>
      </c>
      <c r="G147">
        <v>-0.16187378009108999</v>
      </c>
      <c r="H147">
        <v>17.467064635652498</v>
      </c>
      <c r="I147">
        <v>1.4309899252339</v>
      </c>
      <c r="J147">
        <v>-0.99877038571058696</v>
      </c>
      <c r="K147">
        <v>45.791131352955802</v>
      </c>
      <c r="L147">
        <v>-7.3590333716916003</v>
      </c>
      <c r="M147" s="10">
        <v>165.541354228552</v>
      </c>
      <c r="N147">
        <f t="shared" si="12"/>
        <v>-5.57953950811102E-2</v>
      </c>
    </row>
    <row r="148" spans="1:14" x14ac:dyDescent="0.2">
      <c r="A148" s="27">
        <v>11</v>
      </c>
      <c r="B148" s="6">
        <f t="shared" si="13"/>
        <v>2016</v>
      </c>
      <c r="C148" t="s">
        <v>7</v>
      </c>
      <c r="D148">
        <v>-0.92352128732406702</v>
      </c>
      <c r="E148">
        <v>1.95595563414242</v>
      </c>
      <c r="F148">
        <v>-9.3426920314665907</v>
      </c>
      <c r="G148">
        <v>-0.32778139232270698</v>
      </c>
      <c r="H148">
        <v>24.3989296006587</v>
      </c>
      <c r="I148">
        <v>1.4970494340717699</v>
      </c>
      <c r="J148">
        <v>-0.456445767538182</v>
      </c>
      <c r="K148">
        <v>51.294949357623501</v>
      </c>
      <c r="L148">
        <v>-6.8066743383199002</v>
      </c>
      <c r="M148" s="10">
        <v>180.99600186258601</v>
      </c>
      <c r="N148">
        <f t="shared" si="12"/>
        <v>0.12019397298233447</v>
      </c>
    </row>
    <row r="149" spans="1:14" ht="16" thickBot="1" x14ac:dyDescent="0.25">
      <c r="A149" s="28">
        <v>11</v>
      </c>
      <c r="B149" s="7">
        <f t="shared" si="13"/>
        <v>2017</v>
      </c>
      <c r="C149" s="8" t="s">
        <v>7</v>
      </c>
      <c r="D149" s="8">
        <v>-0.24867365282588599</v>
      </c>
      <c r="E149" s="8">
        <v>2.2587204629480802</v>
      </c>
      <c r="F149" s="8">
        <v>-10.3975915688206</v>
      </c>
      <c r="G149" s="8">
        <v>-0.33363695510735297</v>
      </c>
      <c r="H149" s="8">
        <v>27.471181556195901</v>
      </c>
      <c r="I149" s="8">
        <v>3.14148896474522</v>
      </c>
      <c r="J149" s="8">
        <v>-0.80882733626714998</v>
      </c>
      <c r="K149" s="8">
        <v>70.712165499739399</v>
      </c>
      <c r="L149" s="8">
        <v>-1.9666283084004601</v>
      </c>
      <c r="M149" s="11">
        <v>180.03660945101799</v>
      </c>
      <c r="N149">
        <f t="shared" si="12"/>
        <v>0.37854050711193632</v>
      </c>
    </row>
    <row r="150" spans="1:14" x14ac:dyDescent="0.2">
      <c r="A150">
        <v>12</v>
      </c>
      <c r="B150" s="6">
        <v>2005</v>
      </c>
      <c r="C150" t="s">
        <v>8</v>
      </c>
      <c r="D150">
        <v>-1.0627158348547101</v>
      </c>
      <c r="E150">
        <v>0.40975609756097597</v>
      </c>
      <c r="F150">
        <v>2.6992341130200801</v>
      </c>
      <c r="G150">
        <v>2.6936087816962502</v>
      </c>
      <c r="H150">
        <v>7.8197010811043404</v>
      </c>
      <c r="I150">
        <v>2.4761023743447401</v>
      </c>
      <c r="J150">
        <v>-0.97719283017230096</v>
      </c>
      <c r="K150">
        <v>61.076285845777797</v>
      </c>
      <c r="L150">
        <v>0.16052631578946799</v>
      </c>
      <c r="M150" s="10">
        <v>59.514256673620999</v>
      </c>
    </row>
    <row r="151" spans="1:14" x14ac:dyDescent="0.2">
      <c r="A151">
        <v>12</v>
      </c>
      <c r="B151" s="6">
        <v>2006</v>
      </c>
      <c r="C151" t="s">
        <v>8</v>
      </c>
      <c r="D151">
        <v>-0.33443129577898301</v>
      </c>
      <c r="E151">
        <v>0.75121951219512195</v>
      </c>
      <c r="F151">
        <v>-0.218898778720756</v>
      </c>
      <c r="G151">
        <v>4.2806355624528303</v>
      </c>
      <c r="H151">
        <v>8.5730283843735098</v>
      </c>
      <c r="I151">
        <v>4.7353273717751003</v>
      </c>
      <c r="J151">
        <v>-1.0624321861030299</v>
      </c>
      <c r="K151">
        <v>89.437100280894498</v>
      </c>
      <c r="L151">
        <v>1.9131578947368399</v>
      </c>
      <c r="M151" s="10">
        <v>80.073423206547801</v>
      </c>
      <c r="N151">
        <f t="shared" si="12"/>
        <v>0.46435067297199262</v>
      </c>
    </row>
    <row r="152" spans="1:14" x14ac:dyDescent="0.2">
      <c r="A152">
        <v>12</v>
      </c>
      <c r="B152" s="6">
        <f>B151+1</f>
        <v>2007</v>
      </c>
      <c r="C152" t="s">
        <v>8</v>
      </c>
      <c r="D152">
        <v>1.0349075072037099E-2</v>
      </c>
      <c r="E152">
        <v>1.4926829268292601</v>
      </c>
      <c r="F152">
        <v>-5.3218795280480098</v>
      </c>
      <c r="G152">
        <v>3.8952404003587802</v>
      </c>
      <c r="H152">
        <v>9.21566093810568</v>
      </c>
      <c r="I152">
        <v>3.3524514338575302</v>
      </c>
      <c r="J152">
        <v>-6.7162883555400996E-2</v>
      </c>
      <c r="K152">
        <v>114.083125704219</v>
      </c>
      <c r="L152">
        <v>2.2802631578947299</v>
      </c>
      <c r="M152" s="10">
        <v>90.488418124431504</v>
      </c>
      <c r="N152">
        <f t="shared" si="12"/>
        <v>0.27556825239099769</v>
      </c>
    </row>
    <row r="153" spans="1:14" x14ac:dyDescent="0.2">
      <c r="A153">
        <v>12</v>
      </c>
      <c r="B153" s="6">
        <f t="shared" ref="B153:B162" si="14">B152+1</f>
        <v>2008</v>
      </c>
      <c r="C153" t="s">
        <v>8</v>
      </c>
      <c r="D153">
        <v>-0.71019840309702398</v>
      </c>
      <c r="E153">
        <v>1.82439024390243</v>
      </c>
      <c r="F153">
        <v>-2.0140757607120601</v>
      </c>
      <c r="G153">
        <v>0.99605620969004904</v>
      </c>
      <c r="H153">
        <v>9.87552224662962</v>
      </c>
      <c r="I153">
        <v>1.1296124987151701</v>
      </c>
      <c r="J153">
        <v>-1.6209148908467499</v>
      </c>
      <c r="K153">
        <v>65.599796867313103</v>
      </c>
      <c r="L153">
        <v>4.8223684210526301</v>
      </c>
      <c r="M153" s="10">
        <v>104.92898411169899</v>
      </c>
      <c r="N153">
        <f t="shared" si="12"/>
        <v>-0.42498247254030919</v>
      </c>
    </row>
    <row r="154" spans="1:14" x14ac:dyDescent="0.2">
      <c r="A154">
        <v>12</v>
      </c>
      <c r="B154" s="6">
        <f t="shared" si="14"/>
        <v>2009</v>
      </c>
      <c r="C154" t="s">
        <v>8</v>
      </c>
      <c r="D154">
        <v>-1.9804621340430599</v>
      </c>
      <c r="E154">
        <v>1.41463414634146</v>
      </c>
      <c r="F154">
        <v>4.8830469882012002</v>
      </c>
      <c r="G154">
        <v>0.16566766803821401</v>
      </c>
      <c r="H154">
        <v>12.6454752982728</v>
      </c>
      <c r="I154">
        <v>-2.1005242059821101</v>
      </c>
      <c r="J154">
        <v>-2.9729395425545699</v>
      </c>
      <c r="K154">
        <v>75.635503784933206</v>
      </c>
      <c r="L154">
        <v>0.46052631578946901</v>
      </c>
      <c r="M154" s="10">
        <v>113.190766597121</v>
      </c>
      <c r="N154">
        <f t="shared" si="12"/>
        <v>0.15298381087854662</v>
      </c>
    </row>
    <row r="155" spans="1:14" x14ac:dyDescent="0.2">
      <c r="A155">
        <v>12</v>
      </c>
      <c r="B155" s="6">
        <f t="shared" si="14"/>
        <v>2010</v>
      </c>
      <c r="C155" t="s">
        <v>8</v>
      </c>
      <c r="D155">
        <v>-1.03519345401755</v>
      </c>
      <c r="E155">
        <v>0.60487804878048801</v>
      </c>
      <c r="F155">
        <v>5.2634030221486201</v>
      </c>
      <c r="G155">
        <v>0.32253655480729598</v>
      </c>
      <c r="H155">
        <v>11.6767885601068</v>
      </c>
      <c r="I155">
        <v>5.0144927536231796</v>
      </c>
      <c r="J155">
        <v>-2.4597673712078398</v>
      </c>
      <c r="K155">
        <v>78.3349467570184</v>
      </c>
      <c r="L155">
        <v>-3.8815789473684101</v>
      </c>
      <c r="M155" s="10">
        <v>163.196116193227</v>
      </c>
      <c r="N155">
        <f t="shared" si="12"/>
        <v>3.5690156566696052E-2</v>
      </c>
    </row>
    <row r="156" spans="1:14" x14ac:dyDescent="0.2">
      <c r="A156">
        <v>12</v>
      </c>
      <c r="B156" s="6">
        <f t="shared" si="14"/>
        <v>2011</v>
      </c>
      <c r="C156" t="s">
        <v>8</v>
      </c>
      <c r="D156">
        <v>-0.34193739964366598</v>
      </c>
      <c r="E156">
        <v>1.52195121951219</v>
      </c>
      <c r="F156">
        <v>2.1936452080314601</v>
      </c>
      <c r="G156">
        <v>-0.18803479647479099</v>
      </c>
      <c r="H156">
        <v>14.9282853081793</v>
      </c>
      <c r="I156">
        <v>3.7748997841504801</v>
      </c>
      <c r="J156">
        <v>-1.7137928041317601</v>
      </c>
      <c r="K156">
        <v>69.467887578753604</v>
      </c>
      <c r="L156">
        <v>-6.5973684210526304</v>
      </c>
      <c r="M156" s="10">
        <v>173.540897662226</v>
      </c>
      <c r="N156">
        <f t="shared" si="12"/>
        <v>-0.11319416869930221</v>
      </c>
    </row>
    <row r="157" spans="1:14" x14ac:dyDescent="0.2">
      <c r="A157">
        <v>12</v>
      </c>
      <c r="B157" s="6">
        <f t="shared" si="14"/>
        <v>2012</v>
      </c>
      <c r="C157" t="s">
        <v>8</v>
      </c>
      <c r="D157">
        <v>-0.22865297054747799</v>
      </c>
      <c r="E157">
        <v>1.58048780487804</v>
      </c>
      <c r="F157">
        <v>-3.3486855723452602</v>
      </c>
      <c r="G157">
        <v>-0.119566610191208</v>
      </c>
      <c r="H157">
        <v>18.717319205754301</v>
      </c>
      <c r="I157">
        <v>1.1133723918182701</v>
      </c>
      <c r="J157">
        <v>-1.2664163881775901</v>
      </c>
      <c r="K157">
        <v>83.827146779236003</v>
      </c>
      <c r="L157">
        <v>-5.1131578947368403</v>
      </c>
      <c r="M157" s="10">
        <v>222.61006793986999</v>
      </c>
      <c r="N157">
        <f t="shared" si="12"/>
        <v>0.20670355326702206</v>
      </c>
    </row>
    <row r="158" spans="1:14" x14ac:dyDescent="0.2">
      <c r="A158">
        <v>12</v>
      </c>
      <c r="B158" s="6">
        <f t="shared" si="14"/>
        <v>2013</v>
      </c>
      <c r="C158" t="s">
        <v>8</v>
      </c>
      <c r="D158">
        <v>-4.9930712887403098E-2</v>
      </c>
      <c r="E158">
        <v>1.45365853658536</v>
      </c>
      <c r="F158">
        <v>-5.5273235354999004</v>
      </c>
      <c r="G158">
        <v>-8.38874097697761E-2</v>
      </c>
      <c r="H158">
        <v>12.1471335659215</v>
      </c>
      <c r="I158">
        <v>2.4115530887038701</v>
      </c>
      <c r="J158">
        <v>-1.7037237967102099</v>
      </c>
      <c r="K158">
        <v>102.369987145509</v>
      </c>
      <c r="L158">
        <v>-2.5552631578947298</v>
      </c>
      <c r="M158" s="10">
        <v>184.12641095597201</v>
      </c>
      <c r="N158">
        <f t="shared" si="12"/>
        <v>0.22120328650940158</v>
      </c>
    </row>
    <row r="159" spans="1:14" x14ac:dyDescent="0.2">
      <c r="A159">
        <v>12</v>
      </c>
      <c r="B159" s="6">
        <f t="shared" si="14"/>
        <v>2014</v>
      </c>
      <c r="C159" t="s">
        <v>8</v>
      </c>
      <c r="D159">
        <v>1.15038602819872E-2</v>
      </c>
      <c r="E159">
        <v>1.3170731707317</v>
      </c>
      <c r="F159">
        <v>-7.4027116539018802</v>
      </c>
      <c r="G159">
        <v>-0.36304227116761401</v>
      </c>
      <c r="H159">
        <v>13.084377826592499</v>
      </c>
      <c r="I159">
        <v>2.0466646109569302</v>
      </c>
      <c r="J159">
        <v>-0.923549325116096</v>
      </c>
      <c r="K159">
        <v>95.251456048751805</v>
      </c>
      <c r="L159">
        <v>-8.4092105263157801</v>
      </c>
      <c r="M159" s="10">
        <v>155.927352484887</v>
      </c>
      <c r="N159">
        <f t="shared" si="12"/>
        <v>-6.9537286222756789E-2</v>
      </c>
    </row>
    <row r="160" spans="1:14" x14ac:dyDescent="0.2">
      <c r="A160">
        <v>12</v>
      </c>
      <c r="B160" s="6">
        <f t="shared" si="14"/>
        <v>2015</v>
      </c>
      <c r="C160" t="s">
        <v>8</v>
      </c>
      <c r="D160">
        <v>6.57677671953038E-3</v>
      </c>
      <c r="E160">
        <v>1.30731707317073</v>
      </c>
      <c r="F160">
        <v>-8.9655350859035394</v>
      </c>
      <c r="G160">
        <v>-0.52499394905818497</v>
      </c>
      <c r="H160">
        <v>18.543739501227499</v>
      </c>
      <c r="I160">
        <v>1.80367972042347</v>
      </c>
      <c r="J160">
        <v>-0.92667418948830205</v>
      </c>
      <c r="K160">
        <v>93.080792852268601</v>
      </c>
      <c r="L160">
        <v>-5.7763157894736796</v>
      </c>
      <c r="M160" s="10">
        <v>164.299470389985</v>
      </c>
      <c r="N160">
        <f t="shared" si="12"/>
        <v>-2.2788766560924878E-2</v>
      </c>
    </row>
    <row r="161" spans="1:14" x14ac:dyDescent="0.2">
      <c r="A161">
        <v>12</v>
      </c>
      <c r="B161" s="6">
        <f t="shared" si="14"/>
        <v>2016</v>
      </c>
      <c r="C161" t="s">
        <v>8</v>
      </c>
      <c r="D161">
        <v>0.20335217649517201</v>
      </c>
      <c r="E161">
        <v>1.00487804878048</v>
      </c>
      <c r="F161">
        <v>-6.4469054026081496</v>
      </c>
      <c r="G161">
        <v>-0.85477739652889095</v>
      </c>
      <c r="H161">
        <v>24.0246371193521</v>
      </c>
      <c r="I161">
        <v>1.8312262308562</v>
      </c>
      <c r="J161">
        <v>-0.59630658391562796</v>
      </c>
      <c r="K161">
        <v>92.860838239728295</v>
      </c>
      <c r="L161">
        <v>-6.1631578947368402</v>
      </c>
      <c r="M161" s="10">
        <v>190.85687155619701</v>
      </c>
      <c r="N161">
        <f t="shared" si="12"/>
        <v>-2.3630504833516142E-3</v>
      </c>
    </row>
    <row r="162" spans="1:14" ht="16" thickBot="1" x14ac:dyDescent="0.25">
      <c r="A162">
        <v>12</v>
      </c>
      <c r="B162" s="6">
        <f t="shared" si="14"/>
        <v>2017</v>
      </c>
      <c r="C162" t="s">
        <v>8</v>
      </c>
      <c r="D162">
        <v>0.38499989002045498</v>
      </c>
      <c r="E162">
        <v>1.45365853658536</v>
      </c>
      <c r="F162">
        <v>-6.4903746636306998</v>
      </c>
      <c r="G162">
        <v>-0.81610831897717295</v>
      </c>
      <c r="H162">
        <v>27.915751389068301</v>
      </c>
      <c r="I162">
        <v>2.6035563778394502</v>
      </c>
      <c r="J162">
        <v>-1.13274163447767</v>
      </c>
      <c r="K162">
        <v>111.35702156697801</v>
      </c>
      <c r="L162">
        <v>-3.1315789473684199</v>
      </c>
      <c r="M162" s="10">
        <v>180.843096346225</v>
      </c>
      <c r="N162">
        <f t="shared" si="12"/>
        <v>0.19918173987941201</v>
      </c>
    </row>
    <row r="163" spans="1:14" x14ac:dyDescent="0.2">
      <c r="A163" s="26">
        <v>13</v>
      </c>
      <c r="B163" s="4">
        <v>2005</v>
      </c>
      <c r="C163" s="5" t="s">
        <v>9</v>
      </c>
      <c r="D163" s="5">
        <v>0.88843837576769302</v>
      </c>
      <c r="E163" s="5">
        <v>2.7153735991452801</v>
      </c>
      <c r="F163" s="5">
        <v>10.127857268344</v>
      </c>
      <c r="G163" s="5">
        <v>7.3131931206622403</v>
      </c>
      <c r="H163" s="5">
        <v>2.31394027712598</v>
      </c>
      <c r="I163" s="5">
        <v>2.31394027712598</v>
      </c>
      <c r="J163" s="5">
        <v>-4.8517184035476904</v>
      </c>
      <c r="K163" s="5">
        <v>62.289352754650402</v>
      </c>
      <c r="L163" s="5">
        <v>-0.134341577910145</v>
      </c>
      <c r="M163" s="9">
        <v>59.514256673620999</v>
      </c>
    </row>
    <row r="164" spans="1:14" x14ac:dyDescent="0.2">
      <c r="A164" s="27">
        <v>13</v>
      </c>
      <c r="B164" s="6">
        <f>B163+1</f>
        <v>2006</v>
      </c>
      <c r="C164" t="s">
        <v>9</v>
      </c>
      <c r="D164">
        <v>1.2370162780990901</v>
      </c>
      <c r="E164">
        <v>3.0839376236048199</v>
      </c>
      <c r="F164">
        <v>13.884420933455599</v>
      </c>
      <c r="G164">
        <v>10.0365978241408</v>
      </c>
      <c r="H164">
        <v>4.9553189912811497</v>
      </c>
      <c r="I164">
        <v>4.9553189912811497</v>
      </c>
      <c r="J164">
        <v>-3.6419068736142002</v>
      </c>
      <c r="K164">
        <v>89.624404388448994</v>
      </c>
      <c r="L164">
        <v>1.11000642146985</v>
      </c>
      <c r="M164" s="10">
        <v>80.073423206547801</v>
      </c>
      <c r="N164">
        <f t="shared" si="12"/>
        <v>0.43883987270613933</v>
      </c>
    </row>
    <row r="165" spans="1:14" x14ac:dyDescent="0.2">
      <c r="A165" s="27">
        <v>13</v>
      </c>
      <c r="B165" s="6">
        <f t="shared" ref="B165:B176" si="15">B164+1</f>
        <v>2007</v>
      </c>
      <c r="C165" t="s">
        <v>9</v>
      </c>
      <c r="D165">
        <v>1.4442788146204699</v>
      </c>
      <c r="E165">
        <v>3.3170648541747099</v>
      </c>
      <c r="F165">
        <v>14.1109527806515</v>
      </c>
      <c r="G165">
        <v>9.6523996587713707</v>
      </c>
      <c r="H165">
        <v>1.50254402647763</v>
      </c>
      <c r="I165">
        <v>1.50254402647763</v>
      </c>
      <c r="J165">
        <v>-4.1075388026607698</v>
      </c>
      <c r="K165">
        <v>113.82344462720199</v>
      </c>
      <c r="L165">
        <v>2.3313699873784901</v>
      </c>
      <c r="M165" s="10">
        <v>90.488418124431504</v>
      </c>
      <c r="N165">
        <f t="shared" si="12"/>
        <v>0.27000503271262821</v>
      </c>
    </row>
    <row r="166" spans="1:14" x14ac:dyDescent="0.2">
      <c r="A166" s="27">
        <v>13</v>
      </c>
      <c r="B166" s="6">
        <f t="shared" si="15"/>
        <v>2008</v>
      </c>
      <c r="C166" t="s">
        <v>9</v>
      </c>
      <c r="D166">
        <v>1.05336592928268</v>
      </c>
      <c r="E166">
        <v>3.4653906480871002</v>
      </c>
      <c r="F166">
        <v>20.527923637002399</v>
      </c>
      <c r="G166">
        <v>7.3872313087803096</v>
      </c>
      <c r="H166">
        <v>-1.5670585620075601</v>
      </c>
      <c r="I166">
        <v>-1.5670585620075601</v>
      </c>
      <c r="J166">
        <v>-5.9700665188470001</v>
      </c>
      <c r="K166">
        <v>32.1245315652926</v>
      </c>
      <c r="L166">
        <v>1.49967892650738</v>
      </c>
      <c r="M166" s="10">
        <v>104.92898411169899</v>
      </c>
      <c r="N166">
        <f t="shared" si="12"/>
        <v>-0.71776876310053839</v>
      </c>
    </row>
    <row r="167" spans="1:14" x14ac:dyDescent="0.2">
      <c r="A167" s="27">
        <v>13</v>
      </c>
      <c r="B167" s="6">
        <f t="shared" si="15"/>
        <v>2009</v>
      </c>
      <c r="C167" t="s">
        <v>9</v>
      </c>
      <c r="D167">
        <v>0.14984198914793301</v>
      </c>
      <c r="E167">
        <v>1.88331704212225</v>
      </c>
      <c r="F167">
        <v>23.424525171289599</v>
      </c>
      <c r="G167">
        <v>7.5823319396320104</v>
      </c>
      <c r="H167">
        <v>-1.9040062242201099</v>
      </c>
      <c r="I167">
        <v>-1.9040062242201099</v>
      </c>
      <c r="J167">
        <v>-7.4792128603104402</v>
      </c>
      <c r="K167">
        <v>42.864361657029498</v>
      </c>
      <c r="L167">
        <v>1.6783729323974199</v>
      </c>
      <c r="M167" s="10">
        <v>113.190766597121</v>
      </c>
      <c r="N167">
        <f t="shared" si="12"/>
        <v>0.33431865208394917</v>
      </c>
    </row>
    <row r="168" spans="1:14" x14ac:dyDescent="0.2">
      <c r="A168" s="27">
        <v>13</v>
      </c>
      <c r="B168" s="6">
        <f t="shared" si="15"/>
        <v>2010</v>
      </c>
      <c r="C168" t="s">
        <v>9</v>
      </c>
      <c r="D168">
        <v>-0.95068868880806001</v>
      </c>
      <c r="E168">
        <v>2.0316428360346399</v>
      </c>
      <c r="F168">
        <v>31.312342618438699</v>
      </c>
      <c r="G168">
        <v>10.7809817695442</v>
      </c>
      <c r="H168">
        <v>-8.6082322720873297</v>
      </c>
      <c r="I168">
        <v>-8.6082322720873297</v>
      </c>
      <c r="J168">
        <v>-6.8847006651884897</v>
      </c>
      <c r="K168">
        <v>32.512675292082797</v>
      </c>
      <c r="L168">
        <v>3.0096100617789601</v>
      </c>
      <c r="M168" s="10">
        <v>163.196116193227</v>
      </c>
      <c r="N168">
        <f t="shared" si="12"/>
        <v>-0.2414986708019502</v>
      </c>
    </row>
    <row r="169" spans="1:14" x14ac:dyDescent="0.2">
      <c r="A169" s="27">
        <v>13</v>
      </c>
      <c r="B169" s="6">
        <f t="shared" si="15"/>
        <v>2011</v>
      </c>
      <c r="C169" t="s">
        <v>9</v>
      </c>
      <c r="D169">
        <v>-1.6368731739311899</v>
      </c>
      <c r="E169">
        <v>0.65906662726466703</v>
      </c>
      <c r="F169">
        <v>27.113451365437498</v>
      </c>
      <c r="G169">
        <v>47.768059314804397</v>
      </c>
      <c r="H169">
        <v>-9.5177093881986696</v>
      </c>
      <c r="I169">
        <v>-9.5177093881986696</v>
      </c>
      <c r="J169">
        <v>23.7929600886917</v>
      </c>
      <c r="K169">
        <v>12.2864700795279</v>
      </c>
      <c r="L169">
        <v>4.4935010296494697</v>
      </c>
      <c r="M169" s="10">
        <v>173.540897662226</v>
      </c>
      <c r="N169">
        <f t="shared" si="12"/>
        <v>-0.6221021503413533</v>
      </c>
    </row>
    <row r="170" spans="1:14" x14ac:dyDescent="0.2">
      <c r="A170" s="27">
        <v>13</v>
      </c>
      <c r="B170" s="6">
        <f t="shared" si="15"/>
        <v>2012</v>
      </c>
      <c r="C170" t="s">
        <v>9</v>
      </c>
      <c r="D170">
        <v>-2.3464909665493998</v>
      </c>
      <c r="E170">
        <v>-1.4917596781159701</v>
      </c>
      <c r="F170">
        <v>20.312127896308699</v>
      </c>
      <c r="G170">
        <v>7.1781234531495297</v>
      </c>
      <c r="H170">
        <v>-6.4300392718650397</v>
      </c>
      <c r="I170">
        <v>-6.4300392718650397</v>
      </c>
      <c r="J170">
        <v>-9.1879157427937894</v>
      </c>
      <c r="K170">
        <v>18.544249063130501</v>
      </c>
      <c r="L170">
        <v>0.49407674763623499</v>
      </c>
      <c r="M170" s="10">
        <v>222.61006793986999</v>
      </c>
      <c r="N170">
        <f t="shared" si="12"/>
        <v>0.50932277074678334</v>
      </c>
    </row>
    <row r="171" spans="1:14" x14ac:dyDescent="0.2">
      <c r="A171" s="27">
        <v>13</v>
      </c>
      <c r="B171" s="6">
        <f t="shared" si="15"/>
        <v>2013</v>
      </c>
      <c r="C171" t="s">
        <v>9</v>
      </c>
      <c r="D171">
        <v>-2.09331584282392</v>
      </c>
      <c r="E171">
        <v>-2.12240003637107</v>
      </c>
      <c r="F171">
        <v>7.5887680805793698</v>
      </c>
      <c r="G171">
        <v>8.40475613737609</v>
      </c>
      <c r="H171">
        <v>-1.7641588658087799</v>
      </c>
      <c r="I171">
        <v>-1.7641588658087799</v>
      </c>
      <c r="J171">
        <v>-7.3711197339246404</v>
      </c>
      <c r="K171">
        <v>26.144506808200401</v>
      </c>
      <c r="L171">
        <v>4.1843404707601604</v>
      </c>
      <c r="M171" s="10">
        <v>184.12641095597201</v>
      </c>
      <c r="N171">
        <f t="shared" si="12"/>
        <v>0.40984446009090014</v>
      </c>
    </row>
    <row r="172" spans="1:14" x14ac:dyDescent="0.2">
      <c r="A172" s="27">
        <v>13</v>
      </c>
      <c r="B172" s="6">
        <f t="shared" si="15"/>
        <v>2014</v>
      </c>
      <c r="C172" t="s">
        <v>9</v>
      </c>
      <c r="D172">
        <v>-1.69214715878599</v>
      </c>
      <c r="E172">
        <v>-1.3682912413902799</v>
      </c>
      <c r="F172">
        <v>0.77456128364792598</v>
      </c>
      <c r="G172">
        <v>7.6073448410232896</v>
      </c>
      <c r="H172">
        <v>-0.21786005384444701</v>
      </c>
      <c r="I172">
        <v>-0.21786005384444701</v>
      </c>
      <c r="J172">
        <v>-9.4623059866962294</v>
      </c>
      <c r="K172">
        <v>17.145982059586601</v>
      </c>
      <c r="L172">
        <v>-2.72772967826221</v>
      </c>
      <c r="M172" s="10">
        <v>155.927352484887</v>
      </c>
      <c r="N172">
        <f t="shared" si="12"/>
        <v>-0.34418414600926239</v>
      </c>
    </row>
    <row r="173" spans="1:14" x14ac:dyDescent="0.2">
      <c r="A173" s="27">
        <v>13</v>
      </c>
      <c r="B173" s="6">
        <f t="shared" si="15"/>
        <v>2015</v>
      </c>
      <c r="C173" t="s">
        <v>9</v>
      </c>
      <c r="D173">
        <v>-1.6608431220559201</v>
      </c>
      <c r="E173">
        <v>0.26462230910868101</v>
      </c>
      <c r="F173">
        <v>-0.194909133498612</v>
      </c>
      <c r="G173">
        <v>7.9195058503859999</v>
      </c>
      <c r="H173">
        <v>-0.31664484896386402</v>
      </c>
      <c r="I173">
        <v>-0.31664484896386402</v>
      </c>
      <c r="J173">
        <v>-6.05321507760533</v>
      </c>
      <c r="K173">
        <v>11.7392705136249</v>
      </c>
      <c r="L173">
        <v>-1.6590199508425301</v>
      </c>
      <c r="M173" s="10">
        <v>164.299470389985</v>
      </c>
      <c r="N173">
        <f t="shared" si="12"/>
        <v>-0.31533402561439861</v>
      </c>
    </row>
    <row r="174" spans="1:14" x14ac:dyDescent="0.2">
      <c r="A174" s="27">
        <v>13</v>
      </c>
      <c r="B174" s="6">
        <f t="shared" si="15"/>
        <v>2016</v>
      </c>
      <c r="C174" t="s">
        <v>9</v>
      </c>
      <c r="D174">
        <v>-1.0588515890525301</v>
      </c>
      <c r="E174">
        <v>-0.54206542247277401</v>
      </c>
      <c r="F174">
        <v>-3.20423978605867</v>
      </c>
      <c r="G174">
        <v>6.5688091752588198</v>
      </c>
      <c r="H174">
        <v>0.93400350729863701</v>
      </c>
      <c r="I174">
        <v>0.93400350729863701</v>
      </c>
      <c r="J174">
        <v>-8.5227272727272805</v>
      </c>
      <c r="K174">
        <v>14.376748681600001</v>
      </c>
      <c r="L174">
        <v>-0.65301919798055796</v>
      </c>
      <c r="M174" s="10">
        <v>190.85687155619701</v>
      </c>
      <c r="N174">
        <f t="shared" si="12"/>
        <v>0.22467138523760699</v>
      </c>
    </row>
    <row r="175" spans="1:14" x14ac:dyDescent="0.2">
      <c r="A175" s="27">
        <v>13</v>
      </c>
      <c r="B175" s="6">
        <f t="shared" si="15"/>
        <v>2017</v>
      </c>
      <c r="C175" t="s">
        <v>9</v>
      </c>
      <c r="D175">
        <v>-0.78391270645757505</v>
      </c>
      <c r="E175">
        <v>-0.13360687413334499</v>
      </c>
      <c r="F175">
        <v>-3.20423978605867</v>
      </c>
      <c r="G175">
        <v>6.5067771798085197</v>
      </c>
      <c r="H175">
        <v>1.2777558228567101</v>
      </c>
      <c r="I175">
        <v>1.2777558228567101</v>
      </c>
      <c r="J175">
        <v>-5.7206208425720604</v>
      </c>
      <c r="K175">
        <v>14.376748681600001</v>
      </c>
      <c r="L175">
        <v>2.11002856446934</v>
      </c>
      <c r="M175" s="10">
        <v>180.843096346225</v>
      </c>
      <c r="N175">
        <f t="shared" si="12"/>
        <v>0</v>
      </c>
    </row>
    <row r="176" spans="1:14" ht="16" thickBot="1" x14ac:dyDescent="0.25">
      <c r="A176" s="28">
        <v>13</v>
      </c>
      <c r="B176" s="7">
        <f t="shared" si="15"/>
        <v>2018</v>
      </c>
      <c r="C176" s="8" t="s">
        <v>9</v>
      </c>
      <c r="D176" s="8">
        <v>-0.78391270645757505</v>
      </c>
      <c r="E176" s="8">
        <v>-0.13360687413334499</v>
      </c>
      <c r="F176" s="8">
        <v>-3.20423978605867</v>
      </c>
      <c r="G176" s="8">
        <v>6.5067771798085197</v>
      </c>
      <c r="H176" s="8">
        <v>1.2777558228567101</v>
      </c>
      <c r="I176" s="8">
        <v>1.2777558228567101</v>
      </c>
      <c r="J176" s="8">
        <v>-5.7206208425720604</v>
      </c>
      <c r="K176" s="8">
        <v>14.376748681600001</v>
      </c>
      <c r="L176" s="8">
        <v>2.11002856446934</v>
      </c>
      <c r="M176" s="11">
        <v>180.843096346225</v>
      </c>
      <c r="N176">
        <f t="shared" si="12"/>
        <v>0</v>
      </c>
    </row>
    <row r="177" spans="1:14" x14ac:dyDescent="0.2">
      <c r="A177">
        <v>14</v>
      </c>
      <c r="B177" s="6">
        <v>2004</v>
      </c>
      <c r="C177" t="s">
        <v>16</v>
      </c>
      <c r="D177">
        <v>0.80318389379697597</v>
      </c>
      <c r="E177">
        <v>1.04772727272727</v>
      </c>
      <c r="F177">
        <v>15.9512777817997</v>
      </c>
      <c r="G177">
        <v>4.5578370342841197</v>
      </c>
      <c r="H177">
        <v>3.4057891623025398</v>
      </c>
      <c r="I177">
        <v>1.8564393533882799</v>
      </c>
      <c r="J177">
        <v>0.24756843953124599</v>
      </c>
      <c r="K177">
        <v>68.610962911969693</v>
      </c>
      <c r="L177">
        <v>7.2989475952731402</v>
      </c>
      <c r="M177" s="10">
        <v>53.285320708286399</v>
      </c>
    </row>
    <row r="178" spans="1:14" x14ac:dyDescent="0.2">
      <c r="A178">
        <v>14</v>
      </c>
      <c r="B178" s="6">
        <f>B177+1</f>
        <v>2005</v>
      </c>
      <c r="C178" t="s">
        <v>16</v>
      </c>
      <c r="D178">
        <v>0.93381926028214002</v>
      </c>
      <c r="E178">
        <v>1.39171554252199</v>
      </c>
      <c r="F178">
        <v>21.5270035473829</v>
      </c>
      <c r="G178">
        <v>4.67425439003995</v>
      </c>
      <c r="H178">
        <v>3.2302736814426898</v>
      </c>
      <c r="I178">
        <v>4.3409699175677101</v>
      </c>
      <c r="J178">
        <v>0.46306400341604798</v>
      </c>
      <c r="K178">
        <v>80.094312021340599</v>
      </c>
      <c r="L178">
        <v>1.88103875579182</v>
      </c>
      <c r="M178" s="10">
        <v>59.514256673620999</v>
      </c>
      <c r="N178">
        <f t="shared" si="12"/>
        <v>0.16736901250175507</v>
      </c>
    </row>
    <row r="179" spans="1:14" x14ac:dyDescent="0.2">
      <c r="A179">
        <v>14</v>
      </c>
      <c r="B179" s="6">
        <f t="shared" ref="B179:B190" si="16">B178+1</f>
        <v>2006</v>
      </c>
      <c r="C179" t="s">
        <v>16</v>
      </c>
      <c r="D179">
        <v>0.99009838843818199</v>
      </c>
      <c r="E179">
        <v>1.21392961876832</v>
      </c>
      <c r="F179">
        <v>26.426735683776101</v>
      </c>
      <c r="G179">
        <v>5.6238037721824696</v>
      </c>
      <c r="H179">
        <v>4.5535420820825196</v>
      </c>
      <c r="I179">
        <v>4.3409699175677101</v>
      </c>
      <c r="J179">
        <v>0.258955259287379</v>
      </c>
      <c r="K179">
        <v>89.652525600206502</v>
      </c>
      <c r="L179">
        <v>0.69950791997412398</v>
      </c>
      <c r="M179" s="10">
        <v>80.073423206547801</v>
      </c>
      <c r="N179">
        <f t="shared" si="12"/>
        <v>0.11933698333433695</v>
      </c>
    </row>
    <row r="180" spans="1:14" x14ac:dyDescent="0.2">
      <c r="A180">
        <v>14</v>
      </c>
      <c r="B180" s="6">
        <f t="shared" si="16"/>
        <v>2007</v>
      </c>
      <c r="C180" t="s">
        <v>16</v>
      </c>
      <c r="D180">
        <v>0.91764872032262401</v>
      </c>
      <c r="E180">
        <v>1.46671554252199</v>
      </c>
      <c r="F180">
        <v>29.852313038441999</v>
      </c>
      <c r="G180">
        <v>6.0836198086035402</v>
      </c>
      <c r="H180">
        <v>4.5351359642395401</v>
      </c>
      <c r="I180">
        <v>1.75880526710202</v>
      </c>
      <c r="J180">
        <v>1.03980642406414</v>
      </c>
      <c r="K180">
        <v>105.557180965493</v>
      </c>
      <c r="L180">
        <v>3.2282425200244198</v>
      </c>
      <c r="M180" s="10">
        <v>90.488418124431504</v>
      </c>
      <c r="N180">
        <f t="shared" si="12"/>
        <v>0.1774033164019404</v>
      </c>
    </row>
    <row r="181" spans="1:14" x14ac:dyDescent="0.2">
      <c r="A181">
        <v>14</v>
      </c>
      <c r="B181" s="6">
        <f t="shared" si="16"/>
        <v>2008</v>
      </c>
      <c r="C181" t="s">
        <v>16</v>
      </c>
      <c r="D181">
        <v>-1.3010340985767399</v>
      </c>
      <c r="E181">
        <v>2.0365102639296202</v>
      </c>
      <c r="F181">
        <v>31.515420256280301</v>
      </c>
      <c r="G181">
        <v>4.3776828021926901</v>
      </c>
      <c r="H181">
        <v>6.5979358853561703</v>
      </c>
      <c r="I181">
        <v>-0.96724119473289605</v>
      </c>
      <c r="J181">
        <v>-0.28021065616548402</v>
      </c>
      <c r="K181">
        <v>77.800533516908999</v>
      </c>
      <c r="L181">
        <v>-17.8712151143996</v>
      </c>
      <c r="M181" s="10">
        <v>104.92898411169899</v>
      </c>
      <c r="N181">
        <f t="shared" si="12"/>
        <v>-0.26295366354713234</v>
      </c>
    </row>
    <row r="182" spans="1:14" x14ac:dyDescent="0.2">
      <c r="A182">
        <v>14</v>
      </c>
      <c r="B182" s="6">
        <f t="shared" si="16"/>
        <v>2009</v>
      </c>
      <c r="C182" t="s">
        <v>16</v>
      </c>
      <c r="D182">
        <v>-2.3838247524597098</v>
      </c>
      <c r="E182">
        <v>2.3335777126099702</v>
      </c>
      <c r="F182">
        <v>27.946499674219901</v>
      </c>
      <c r="G182">
        <v>0.29201895382328003</v>
      </c>
      <c r="H182">
        <v>12.551000284856499</v>
      </c>
      <c r="I182">
        <v>-3.11005245691039</v>
      </c>
      <c r="J182">
        <v>-3.2564406699245598</v>
      </c>
      <c r="K182">
        <v>63.922209792616798</v>
      </c>
      <c r="L182">
        <v>-13.346323767106</v>
      </c>
      <c r="M182" s="10">
        <v>113.190766597121</v>
      </c>
      <c r="N182">
        <f t="shared" si="12"/>
        <v>-0.17838340043357048</v>
      </c>
    </row>
    <row r="183" spans="1:14" x14ac:dyDescent="0.2">
      <c r="A183">
        <v>14</v>
      </c>
      <c r="B183" s="6">
        <f t="shared" si="16"/>
        <v>2010</v>
      </c>
      <c r="C183" t="s">
        <v>16</v>
      </c>
      <c r="D183">
        <v>-1.89927346336717</v>
      </c>
      <c r="E183">
        <v>3.0186950146627498</v>
      </c>
      <c r="F183">
        <v>19.3784840367769</v>
      </c>
      <c r="G183">
        <v>0.41233856731394503</v>
      </c>
      <c r="H183">
        <v>12.6765563029997</v>
      </c>
      <c r="I183">
        <v>1.1151910930307201</v>
      </c>
      <c r="J183">
        <v>-2.5049105660198201</v>
      </c>
      <c r="K183">
        <v>76.0440581705532</v>
      </c>
      <c r="L183">
        <v>-11.444721813153199</v>
      </c>
      <c r="M183" s="10">
        <v>163.196116193227</v>
      </c>
      <c r="N183">
        <f t="shared" si="12"/>
        <v>0.18963437617791046</v>
      </c>
    </row>
    <row r="184" spans="1:14" x14ac:dyDescent="0.2">
      <c r="A184">
        <v>14</v>
      </c>
      <c r="B184" s="6">
        <f t="shared" si="16"/>
        <v>2011</v>
      </c>
      <c r="C184" t="s">
        <v>16</v>
      </c>
      <c r="D184">
        <v>-1.86657931489007</v>
      </c>
      <c r="E184">
        <v>2.6379032258064501</v>
      </c>
      <c r="F184">
        <v>1.4166003040613999</v>
      </c>
      <c r="G184">
        <v>0.43510173743379699</v>
      </c>
      <c r="H184">
        <v>11.467011416175399</v>
      </c>
      <c r="I184">
        <v>1.2115405202869001</v>
      </c>
      <c r="J184">
        <v>-1.9421169995729901</v>
      </c>
      <c r="K184">
        <v>73.596076069185003</v>
      </c>
      <c r="L184">
        <v>-7.8855824144247704</v>
      </c>
      <c r="M184" s="10">
        <v>173.540897662226</v>
      </c>
      <c r="N184">
        <f t="shared" si="12"/>
        <v>-3.2191628909096548E-2</v>
      </c>
    </row>
    <row r="185" spans="1:14" x14ac:dyDescent="0.2">
      <c r="A185">
        <v>14</v>
      </c>
      <c r="B185" s="6">
        <f t="shared" si="16"/>
        <v>2012</v>
      </c>
      <c r="C185" t="s">
        <v>16</v>
      </c>
      <c r="D185">
        <v>-1.6103927691559301</v>
      </c>
      <c r="E185">
        <v>2.3024926686217002</v>
      </c>
      <c r="F185">
        <v>-4.4523275175559398</v>
      </c>
      <c r="G185">
        <v>0.32193626312366003</v>
      </c>
      <c r="H185">
        <v>19.798409185529302</v>
      </c>
      <c r="I185">
        <v>1.5699603896798999</v>
      </c>
      <c r="J185">
        <v>-1.28367414717464</v>
      </c>
      <c r="K185">
        <v>83.845796403063304</v>
      </c>
      <c r="L185">
        <v>-3.5683883481196799</v>
      </c>
      <c r="M185" s="10">
        <v>222.61006793986999</v>
      </c>
      <c r="N185">
        <f t="shared" si="12"/>
        <v>0.13926992961204765</v>
      </c>
    </row>
    <row r="186" spans="1:14" x14ac:dyDescent="0.2">
      <c r="A186">
        <v>14</v>
      </c>
      <c r="B186" s="6">
        <f t="shared" si="16"/>
        <v>2013</v>
      </c>
      <c r="C186" t="s">
        <v>16</v>
      </c>
      <c r="D186">
        <v>-0.97225665730381206</v>
      </c>
      <c r="E186">
        <v>1.90153958944281</v>
      </c>
      <c r="F186">
        <v>-17.071418229204301</v>
      </c>
      <c r="G186">
        <v>0.31218061878657999</v>
      </c>
      <c r="H186">
        <v>21.111159804544499</v>
      </c>
      <c r="I186">
        <v>1.64190129536452</v>
      </c>
      <c r="J186">
        <v>-2.1641599848175699</v>
      </c>
      <c r="K186">
        <v>87.7008863264779</v>
      </c>
      <c r="L186">
        <v>0.178244315936922</v>
      </c>
      <c r="M186" s="10">
        <v>184.12641095597201</v>
      </c>
      <c r="N186">
        <f t="shared" si="12"/>
        <v>4.5978332710711278E-2</v>
      </c>
    </row>
    <row r="187" spans="1:14" x14ac:dyDescent="0.2">
      <c r="A187">
        <v>14</v>
      </c>
      <c r="B187" s="6">
        <f t="shared" si="16"/>
        <v>2014</v>
      </c>
      <c r="C187" t="s">
        <v>16</v>
      </c>
      <c r="D187">
        <v>-0.51213771242958095</v>
      </c>
      <c r="E187">
        <v>1.3186217008797601</v>
      </c>
      <c r="F187">
        <v>-15.862774198219</v>
      </c>
      <c r="G187">
        <v>0.368112979652512</v>
      </c>
      <c r="H187">
        <v>21.111159804544499</v>
      </c>
      <c r="I187">
        <v>2.5296006851514798</v>
      </c>
      <c r="J187">
        <v>-1.8254020970726299</v>
      </c>
      <c r="K187">
        <v>91.604164873935005</v>
      </c>
      <c r="L187">
        <v>9.2239862073919792</v>
      </c>
      <c r="M187" s="10">
        <v>155.927352484887</v>
      </c>
      <c r="N187">
        <f t="shared" si="12"/>
        <v>4.4506717217505098E-2</v>
      </c>
    </row>
    <row r="188" spans="1:14" x14ac:dyDescent="0.2">
      <c r="A188">
        <v>14</v>
      </c>
      <c r="B188" s="6">
        <f t="shared" si="16"/>
        <v>2015</v>
      </c>
      <c r="C188" t="s">
        <v>16</v>
      </c>
      <c r="D188">
        <v>-0.508112730867607</v>
      </c>
      <c r="E188">
        <v>1.27917888563049</v>
      </c>
      <c r="F188">
        <v>-11.705820603778999</v>
      </c>
      <c r="G188">
        <v>0.39022577348322601</v>
      </c>
      <c r="H188">
        <v>20.641146438197001</v>
      </c>
      <c r="I188">
        <v>1.9437961674338899</v>
      </c>
      <c r="J188">
        <v>-1.26431655358921</v>
      </c>
      <c r="K188">
        <v>86.597366835900502</v>
      </c>
      <c r="L188">
        <v>5.6187816529578596</v>
      </c>
      <c r="M188" s="10">
        <v>164.299470389985</v>
      </c>
      <c r="N188">
        <f t="shared" si="12"/>
        <v>-5.4656882085272196E-2</v>
      </c>
    </row>
    <row r="189" spans="1:14" x14ac:dyDescent="0.2">
      <c r="A189">
        <v>14</v>
      </c>
      <c r="B189" s="6">
        <f t="shared" si="16"/>
        <v>2016</v>
      </c>
      <c r="C189" t="s">
        <v>16</v>
      </c>
      <c r="D189">
        <v>-9.7070315564831505E-2</v>
      </c>
      <c r="E189">
        <v>1.4403225806451601</v>
      </c>
      <c r="F189">
        <v>-1.9568522406428599</v>
      </c>
      <c r="G189">
        <v>0.213973799126634</v>
      </c>
      <c r="H189">
        <v>20.620110874947901</v>
      </c>
      <c r="I189">
        <v>1.46333369018306</v>
      </c>
      <c r="J189">
        <v>-0.92726668880770102</v>
      </c>
      <c r="K189">
        <v>76.583770759831296</v>
      </c>
      <c r="L189">
        <v>-4.1122804496964802</v>
      </c>
      <c r="M189" s="10">
        <v>190.85687155619701</v>
      </c>
      <c r="N189">
        <f t="shared" si="12"/>
        <v>-0.11563395564953705</v>
      </c>
    </row>
    <row r="190" spans="1:14" ht="16" thickBot="1" x14ac:dyDescent="0.25">
      <c r="A190">
        <v>14</v>
      </c>
      <c r="B190" s="6">
        <f t="shared" si="16"/>
        <v>2017</v>
      </c>
      <c r="C190" t="s">
        <v>16</v>
      </c>
      <c r="D190">
        <v>5.7785554003796501E-2</v>
      </c>
      <c r="E190">
        <v>2.3247067448680299</v>
      </c>
      <c r="F190">
        <v>1.85640338811265</v>
      </c>
      <c r="G190">
        <v>0.40323329926600199</v>
      </c>
      <c r="H190">
        <v>25.086223897276302</v>
      </c>
      <c r="I190">
        <v>1.36184562680655</v>
      </c>
      <c r="J190">
        <v>-0.67818000664230904</v>
      </c>
      <c r="K190">
        <v>86.766027020049904</v>
      </c>
      <c r="L190">
        <v>4.1665170072931801E-2</v>
      </c>
      <c r="M190" s="10">
        <v>180.843096346225</v>
      </c>
      <c r="N190">
        <f t="shared" si="12"/>
        <v>0.13295579675947833</v>
      </c>
    </row>
    <row r="191" spans="1:14" x14ac:dyDescent="0.2">
      <c r="A191" s="26">
        <v>15</v>
      </c>
      <c r="B191" s="4">
        <v>2005</v>
      </c>
      <c r="C191" s="5" t="s">
        <v>29</v>
      </c>
      <c r="D191" s="5">
        <v>0.83543606615163302</v>
      </c>
      <c r="E191" s="5">
        <v>1.94261805140466</v>
      </c>
      <c r="F191" s="5">
        <v>7.1227470844622403</v>
      </c>
      <c r="G191" s="5">
        <v>4.2043935868149704</v>
      </c>
      <c r="H191" s="5">
        <v>6.5250910075513602</v>
      </c>
      <c r="I191" s="5">
        <v>3.3840562875443898</v>
      </c>
      <c r="J191" s="5">
        <v>-0.81268668050422799</v>
      </c>
      <c r="K191" s="5">
        <v>74.0473207046509</v>
      </c>
      <c r="L191" s="5">
        <v>4.1472851736893501</v>
      </c>
      <c r="M191" s="9">
        <v>56.169795718354798</v>
      </c>
    </row>
    <row r="192" spans="1:14" x14ac:dyDescent="0.2">
      <c r="A192" s="27">
        <v>15</v>
      </c>
      <c r="B192" s="6">
        <f>B191+1</f>
        <v>2006</v>
      </c>
      <c r="C192" t="s">
        <v>29</v>
      </c>
      <c r="D192">
        <v>1.10271568310665</v>
      </c>
      <c r="E192">
        <v>2.6993424985056702</v>
      </c>
      <c r="F192">
        <v>8.8323124042879009</v>
      </c>
      <c r="G192">
        <v>5.2689737623022497</v>
      </c>
      <c r="H192">
        <v>6.4337073919191203</v>
      </c>
      <c r="I192">
        <v>2.6296837144469101</v>
      </c>
      <c r="J192">
        <v>0.28729813192932502</v>
      </c>
      <c r="K192">
        <v>84.278027566890202</v>
      </c>
      <c r="L192">
        <v>-0.102895531272594</v>
      </c>
      <c r="M192" s="10">
        <v>77.7311567792717</v>
      </c>
      <c r="N192">
        <f t="shared" si="12"/>
        <v>0.13816444355962654</v>
      </c>
    </row>
    <row r="193" spans="1:14" x14ac:dyDescent="0.2">
      <c r="A193" s="27">
        <v>15</v>
      </c>
      <c r="B193" s="6">
        <f t="shared" ref="B193:B201" si="17">B192+1</f>
        <v>2007</v>
      </c>
      <c r="C193" t="s">
        <v>29</v>
      </c>
      <c r="D193">
        <v>0.73365302705401902</v>
      </c>
      <c r="E193">
        <v>2.2741581988443902</v>
      </c>
      <c r="F193">
        <v>11.2477912592766</v>
      </c>
      <c r="G193">
        <v>4.1021754445891396</v>
      </c>
      <c r="H193">
        <v>6.4401004843707597</v>
      </c>
      <c r="I193">
        <v>2.1305300189173901</v>
      </c>
      <c r="J193">
        <v>-0.494279349972154</v>
      </c>
      <c r="K193">
        <v>91.236087565416</v>
      </c>
      <c r="L193">
        <v>-8.1162747849256593</v>
      </c>
      <c r="M193" s="10">
        <v>98.2129184404765</v>
      </c>
      <c r="N193">
        <f t="shared" si="12"/>
        <v>8.2560783627776413E-2</v>
      </c>
    </row>
    <row r="194" spans="1:14" x14ac:dyDescent="0.2">
      <c r="A194" s="27">
        <v>15</v>
      </c>
      <c r="B194" s="6">
        <f t="shared" si="17"/>
        <v>2008</v>
      </c>
      <c r="C194" t="s">
        <v>29</v>
      </c>
      <c r="D194">
        <v>-0.71074082777663605</v>
      </c>
      <c r="E194">
        <v>2.3943016537158801</v>
      </c>
      <c r="F194">
        <v>13.425609612439599</v>
      </c>
      <c r="G194">
        <v>0.63623748425524795</v>
      </c>
      <c r="H194">
        <v>6.4401004843707597</v>
      </c>
      <c r="I194">
        <v>-0.72035445222528305</v>
      </c>
      <c r="J194">
        <v>-2.55763681466106</v>
      </c>
      <c r="K194">
        <v>51.271467531510297</v>
      </c>
      <c r="L194">
        <v>-9.9494026106555097E-2</v>
      </c>
      <c r="M194" s="10">
        <v>92.1028452421059</v>
      </c>
      <c r="N194">
        <f t="shared" si="12"/>
        <v>-0.43803522378413251</v>
      </c>
    </row>
    <row r="195" spans="1:14" x14ac:dyDescent="0.2">
      <c r="A195" s="27">
        <v>15</v>
      </c>
      <c r="B195" s="6">
        <f t="shared" si="17"/>
        <v>2009</v>
      </c>
      <c r="C195" t="s">
        <v>29</v>
      </c>
      <c r="D195">
        <v>-2.4974958141174399</v>
      </c>
      <c r="E195">
        <v>1.6104801753337299</v>
      </c>
      <c r="F195">
        <v>13.7074449287313</v>
      </c>
      <c r="G195">
        <v>5.1493349843088503E-2</v>
      </c>
      <c r="H195">
        <v>11.920108908210199</v>
      </c>
      <c r="I195">
        <v>9.2263781487506594E-2</v>
      </c>
      <c r="J195">
        <v>-3.5688503012200701</v>
      </c>
      <c r="K195">
        <v>60.794575071865602</v>
      </c>
      <c r="L195">
        <v>-6.2896665107643397</v>
      </c>
      <c r="M195" s="10">
        <v>136.02952436372499</v>
      </c>
      <c r="N195">
        <f t="shared" si="12"/>
        <v>0.18573893041978207</v>
      </c>
    </row>
    <row r="196" spans="1:14" x14ac:dyDescent="0.2">
      <c r="A196" s="27">
        <v>15</v>
      </c>
      <c r="B196" s="6">
        <f t="shared" si="17"/>
        <v>2010</v>
      </c>
      <c r="C196" t="s">
        <v>29</v>
      </c>
      <c r="D196">
        <v>-1.8397394471697499</v>
      </c>
      <c r="E196">
        <v>0.90655509065550799</v>
      </c>
      <c r="F196">
        <v>0.81900106019553198</v>
      </c>
      <c r="G196">
        <v>4.3039217779298797E-2</v>
      </c>
      <c r="H196">
        <v>13.295751978098</v>
      </c>
      <c r="I196">
        <v>2.78898808536059</v>
      </c>
      <c r="J196">
        <v>-3.1414721814407902</v>
      </c>
      <c r="K196">
        <v>59.2761848603228</v>
      </c>
      <c r="L196">
        <v>-11.0625451762404</v>
      </c>
      <c r="M196" s="10">
        <v>160.75311629046499</v>
      </c>
      <c r="N196">
        <f t="shared" ref="N196:N201" si="18">K196/K195-1</f>
        <v>-2.4975751697382642E-2</v>
      </c>
    </row>
    <row r="197" spans="1:14" x14ac:dyDescent="0.2">
      <c r="A197" s="27">
        <v>15</v>
      </c>
      <c r="B197" s="6">
        <f t="shared" si="17"/>
        <v>2011</v>
      </c>
      <c r="C197" t="s">
        <v>29</v>
      </c>
      <c r="D197">
        <v>-1.47424580677378</v>
      </c>
      <c r="E197">
        <v>2.0988244670252998</v>
      </c>
      <c r="F197">
        <v>-7.7756508422664696</v>
      </c>
      <c r="G197">
        <v>6.63521274097469E-2</v>
      </c>
      <c r="H197">
        <v>16.921011462438699</v>
      </c>
      <c r="I197">
        <v>2.4174438286150401</v>
      </c>
      <c r="J197">
        <v>-1.85792031590138</v>
      </c>
      <c r="K197">
        <v>67.221935578978304</v>
      </c>
      <c r="L197">
        <v>-10.527375030117399</v>
      </c>
      <c r="M197" s="10">
        <v>199.41961961348801</v>
      </c>
      <c r="N197">
        <f t="shared" si="18"/>
        <v>0.13404625714996188</v>
      </c>
    </row>
    <row r="198" spans="1:14" x14ac:dyDescent="0.2">
      <c r="A198" s="27">
        <v>15</v>
      </c>
      <c r="B198" s="6">
        <f t="shared" si="17"/>
        <v>2012</v>
      </c>
      <c r="C198" t="s">
        <v>29</v>
      </c>
      <c r="D198">
        <v>-1.2064374467585099</v>
      </c>
      <c r="E198">
        <v>2.0468220761107698</v>
      </c>
      <c r="F198">
        <v>-7.2561550241489101</v>
      </c>
      <c r="G198">
        <v>5.6745159155440199E-2</v>
      </c>
      <c r="H198">
        <v>16.526143987484499</v>
      </c>
      <c r="I198">
        <v>1.7973183764229499</v>
      </c>
      <c r="J198">
        <v>-1.6713410621171401</v>
      </c>
      <c r="K198">
        <v>91.914203582221504</v>
      </c>
      <c r="L198">
        <v>-9.4371926244029503</v>
      </c>
      <c r="M198" s="10">
        <v>208.13298214449699</v>
      </c>
      <c r="N198">
        <f t="shared" si="18"/>
        <v>0.36732456140350989</v>
      </c>
    </row>
    <row r="199" spans="1:14" x14ac:dyDescent="0.2">
      <c r="A199" s="27">
        <v>15</v>
      </c>
      <c r="B199" s="6">
        <f t="shared" si="17"/>
        <v>2013</v>
      </c>
      <c r="C199" t="s">
        <v>29</v>
      </c>
      <c r="D199">
        <v>-0.54782187233792501</v>
      </c>
      <c r="E199">
        <v>1.7925881649730999</v>
      </c>
      <c r="F199">
        <v>-4.8353751914242</v>
      </c>
      <c r="G199">
        <v>5.6745159155440199E-2</v>
      </c>
      <c r="H199">
        <v>20.1310960016847</v>
      </c>
      <c r="I199">
        <v>1.9091633201686</v>
      </c>
      <c r="J199">
        <v>-2.4734723839416799</v>
      </c>
      <c r="K199">
        <v>118.242795017321</v>
      </c>
      <c r="L199">
        <v>-7.5601286902787699</v>
      </c>
      <c r="M199" s="10">
        <v>155.13307402529699</v>
      </c>
      <c r="N199">
        <f t="shared" si="18"/>
        <v>0.28644747393744607</v>
      </c>
    </row>
    <row r="200" spans="1:14" x14ac:dyDescent="0.2">
      <c r="A200" s="27">
        <v>15</v>
      </c>
      <c r="B200" s="6">
        <f t="shared" si="17"/>
        <v>2014</v>
      </c>
      <c r="C200" t="s">
        <v>29</v>
      </c>
      <c r="D200">
        <v>3.7100138060688702E-2</v>
      </c>
      <c r="E200">
        <v>1.6620840804941199</v>
      </c>
      <c r="F200">
        <v>-3.1187419012839901</v>
      </c>
      <c r="G200">
        <v>7.7752396404861202E-2</v>
      </c>
      <c r="H200">
        <v>23.010996119016799</v>
      </c>
      <c r="I200">
        <v>3.16899538681092</v>
      </c>
      <c r="J200">
        <v>-2.16179820786716</v>
      </c>
      <c r="K200">
        <v>127.662710989901</v>
      </c>
      <c r="L200">
        <v>3.2498547273835201</v>
      </c>
      <c r="M200" s="10">
        <v>149.16082202689</v>
      </c>
      <c r="N200">
        <f t="shared" si="18"/>
        <v>7.9665877072680136E-2</v>
      </c>
    </row>
    <row r="201" spans="1:14" ht="16" thickBot="1" x14ac:dyDescent="0.25">
      <c r="A201" s="28">
        <v>15</v>
      </c>
      <c r="B201" s="7">
        <f t="shared" si="17"/>
        <v>2015</v>
      </c>
      <c r="C201" s="8" t="s">
        <v>29</v>
      </c>
      <c r="D201" s="8">
        <v>-0.13560056399259601</v>
      </c>
      <c r="E201" s="8">
        <v>2.0466228332337102</v>
      </c>
      <c r="F201" s="8">
        <v>-1.6486040758628699</v>
      </c>
      <c r="G201" s="8">
        <v>0.31613330202173401</v>
      </c>
      <c r="H201" s="8">
        <v>22.103553055146001</v>
      </c>
      <c r="I201" s="8">
        <v>1.75417344263383</v>
      </c>
      <c r="J201" s="8">
        <v>-2.0834809902293299</v>
      </c>
      <c r="K201" s="8">
        <v>131.34812412471399</v>
      </c>
      <c r="L201" s="8">
        <v>14.645463951131701</v>
      </c>
      <c r="M201" s="11">
        <v>134.536461364123</v>
      </c>
      <c r="N201">
        <f t="shared" si="18"/>
        <v>2.8868360277140903E-2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CB85-0F67-9A49-B9BB-FE21656B162B}">
  <dimension ref="A22:C47"/>
  <sheetViews>
    <sheetView workbookViewId="0">
      <selection sqref="A1:C1048576"/>
    </sheetView>
  </sheetViews>
  <sheetFormatPr baseColWidth="10" defaultRowHeight="15" x14ac:dyDescent="0.2"/>
  <sheetData>
    <row r="22" spans="1:3" x14ac:dyDescent="0.2">
      <c r="A22" t="s">
        <v>41</v>
      </c>
      <c r="B22" t="s">
        <v>42</v>
      </c>
      <c r="C22" t="s">
        <v>43</v>
      </c>
    </row>
    <row r="23" spans="1:3" x14ac:dyDescent="0.2">
      <c r="A23">
        <v>3416.9614000000001</v>
      </c>
      <c r="B23">
        <v>17300.451000000001</v>
      </c>
      <c r="C23" s="30" cm="1">
        <f t="array" ref="C23:C34">A23:A34/B23:B34</f>
        <v>0.19750707076942675</v>
      </c>
    </row>
    <row r="24" spans="1:3" x14ac:dyDescent="0.2">
      <c r="A24">
        <v>3281.5405000000001</v>
      </c>
      <c r="B24">
        <v>16790.398000000001</v>
      </c>
      <c r="C24" s="30">
        <v>0.19544149578824754</v>
      </c>
    </row>
    <row r="25" spans="1:3" x14ac:dyDescent="0.2">
      <c r="A25">
        <v>3078.4088999999999</v>
      </c>
      <c r="B25">
        <v>16274.299000000001</v>
      </c>
      <c r="C25" s="30">
        <v>0.1891576958245636</v>
      </c>
    </row>
    <row r="26" spans="1:3" x14ac:dyDescent="0.2">
      <c r="A26">
        <v>2899.46</v>
      </c>
      <c r="B26">
        <v>17104.898000000001</v>
      </c>
      <c r="C26" s="30">
        <v>0.16951051096592332</v>
      </c>
    </row>
    <row r="27" spans="1:3" x14ac:dyDescent="0.2">
      <c r="A27">
        <v>2848.6770000000001</v>
      </c>
      <c r="B27">
        <v>17330.690999999999</v>
      </c>
      <c r="C27" s="30">
        <v>0.16437180721761183</v>
      </c>
    </row>
    <row r="28" spans="1:3" x14ac:dyDescent="0.2">
      <c r="A28">
        <v>2532.2714999999998</v>
      </c>
      <c r="B28">
        <v>14569.755999999999</v>
      </c>
      <c r="C28" s="30">
        <v>0.17380328812644494</v>
      </c>
    </row>
    <row r="29" spans="1:3" x14ac:dyDescent="0.2">
      <c r="A29">
        <v>2421.1835999999998</v>
      </c>
      <c r="B29">
        <v>13090</v>
      </c>
      <c r="C29" s="30">
        <v>0.18496436974789915</v>
      </c>
    </row>
    <row r="30" spans="1:3" x14ac:dyDescent="0.2">
      <c r="A30">
        <v>2559.0398</v>
      </c>
      <c r="B30">
        <v>14373.194</v>
      </c>
      <c r="C30" s="30">
        <v>0.17804252833434239</v>
      </c>
    </row>
    <row r="31" spans="1:3" x14ac:dyDescent="0.2">
      <c r="A31">
        <v>2750.4324000000001</v>
      </c>
      <c r="B31">
        <v>16290.427</v>
      </c>
      <c r="C31" s="30">
        <v>0.16883734232380773</v>
      </c>
    </row>
    <row r="32" spans="1:3" x14ac:dyDescent="0.2">
      <c r="A32">
        <v>2941.8249999999998</v>
      </c>
      <c r="B32">
        <v>17113.971000000001</v>
      </c>
      <c r="C32" s="30">
        <v>0.17189610757199481</v>
      </c>
    </row>
    <row r="33" spans="1:3" x14ac:dyDescent="0.2">
      <c r="A33">
        <v>3105.1111000000001</v>
      </c>
      <c r="B33">
        <v>18248.988000000001</v>
      </c>
      <c r="C33" s="30">
        <v>0.17015250927887068</v>
      </c>
    </row>
    <row r="34" spans="1:3" x14ac:dyDescent="0.2">
      <c r="A34">
        <v>3327.2871</v>
      </c>
      <c r="B34">
        <v>20061.386999999999</v>
      </c>
      <c r="C34" s="30">
        <v>0.16585528707461752</v>
      </c>
    </row>
    <row r="35" spans="1:3" x14ac:dyDescent="0.2">
      <c r="A35">
        <v>8143.8266999999996</v>
      </c>
      <c r="B35">
        <v>487.17275999999998</v>
      </c>
      <c r="C35" s="30" cm="1">
        <f t="array" ref="C35:C47">((A35:A47)/100)/B35:B47</f>
        <v>0.16716506686457591</v>
      </c>
    </row>
    <row r="36" spans="1:3" x14ac:dyDescent="0.2">
      <c r="A36">
        <v>8154.4979999999996</v>
      </c>
      <c r="B36">
        <v>458.19211000000001</v>
      </c>
      <c r="C36" s="30">
        <v>0.17797115712009967</v>
      </c>
    </row>
    <row r="37" spans="1:3" x14ac:dyDescent="0.2">
      <c r="A37">
        <v>9156.2402000000002</v>
      </c>
      <c r="B37">
        <v>497.10831000000002</v>
      </c>
      <c r="C37" s="30">
        <v>0.18419004502258271</v>
      </c>
    </row>
    <row r="38" spans="1:3" x14ac:dyDescent="0.2">
      <c r="A38">
        <v>9855.3721000000005</v>
      </c>
      <c r="B38">
        <v>521.26940999999999</v>
      </c>
      <c r="C38" s="30">
        <v>0.18906484652533131</v>
      </c>
    </row>
    <row r="39" spans="1:3" x14ac:dyDescent="0.2">
      <c r="A39">
        <v>10994.471</v>
      </c>
      <c r="B39">
        <v>502.69677999999999</v>
      </c>
      <c r="C39" s="30">
        <v>0.21870979559487133</v>
      </c>
    </row>
    <row r="40" spans="1:3" x14ac:dyDescent="0.2">
      <c r="A40">
        <v>12048.503000000001</v>
      </c>
      <c r="B40">
        <v>449.58364999999998</v>
      </c>
      <c r="C40" s="30">
        <v>0.26799246369390883</v>
      </c>
    </row>
    <row r="41" spans="1:3" x14ac:dyDescent="0.2">
      <c r="A41">
        <v>12522.01</v>
      </c>
      <c r="B41">
        <v>400.58893</v>
      </c>
      <c r="C41" s="30">
        <v>0.31259001590483293</v>
      </c>
    </row>
    <row r="42" spans="1:3" x14ac:dyDescent="0.2">
      <c r="A42">
        <v>12663.178</v>
      </c>
      <c r="B42">
        <v>374.28064000000001</v>
      </c>
      <c r="C42" s="30">
        <v>0.33833377008225696</v>
      </c>
    </row>
    <row r="43" spans="1:3" x14ac:dyDescent="0.2">
      <c r="A43">
        <v>12354.011</v>
      </c>
      <c r="B43">
        <v>346.06741</v>
      </c>
      <c r="C43" s="30">
        <v>0.35698279130068905</v>
      </c>
    </row>
    <row r="44" spans="1:3" x14ac:dyDescent="0.2">
      <c r="A44">
        <v>12525.669</v>
      </c>
      <c r="B44">
        <v>307.58001999999999</v>
      </c>
      <c r="C44" s="30">
        <v>0.40723285602231246</v>
      </c>
    </row>
    <row r="45" spans="1:3" x14ac:dyDescent="0.2">
      <c r="A45">
        <v>12816.236000000001</v>
      </c>
      <c r="B45">
        <v>370.63625999999999</v>
      </c>
      <c r="C45" s="30">
        <v>0.34579012857511571</v>
      </c>
    </row>
    <row r="46" spans="1:3" x14ac:dyDescent="0.2">
      <c r="A46">
        <v>13462.468000000001</v>
      </c>
      <c r="B46">
        <v>521.77795000000003</v>
      </c>
      <c r="C46" s="30">
        <v>0.2580114395405172</v>
      </c>
    </row>
    <row r="47" spans="1:3" x14ac:dyDescent="0.2">
      <c r="A47">
        <v>15482.111999999999</v>
      </c>
      <c r="B47">
        <v>622.87616000000003</v>
      </c>
      <c r="C47" s="30">
        <v>0.24855842933529512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18B3-57C4-244F-966F-B57F12C8DD12}">
  <dimension ref="A1:I26"/>
  <sheetViews>
    <sheetView workbookViewId="0">
      <selection activeCell="H24" sqref="H24"/>
    </sheetView>
  </sheetViews>
  <sheetFormatPr baseColWidth="10" defaultRowHeight="15" x14ac:dyDescent="0.2"/>
  <sheetData>
    <row r="1" spans="1:9" x14ac:dyDescent="0.2">
      <c r="A1" t="s">
        <v>45</v>
      </c>
    </row>
    <row r="2" spans="1:9" ht="16" thickBot="1" x14ac:dyDescent="0.25"/>
    <row r="3" spans="1:9" x14ac:dyDescent="0.2">
      <c r="A3" s="32" t="s">
        <v>46</v>
      </c>
      <c r="B3" s="32"/>
    </row>
    <row r="4" spans="1:9" x14ac:dyDescent="0.2">
      <c r="A4" t="s">
        <v>47</v>
      </c>
      <c r="B4">
        <v>0.52533343265876875</v>
      </c>
    </row>
    <row r="5" spans="1:9" x14ac:dyDescent="0.2">
      <c r="A5" t="s">
        <v>48</v>
      </c>
      <c r="B5">
        <v>0.27597521546904508</v>
      </c>
    </row>
    <row r="6" spans="1:9" x14ac:dyDescent="0.2">
      <c r="A6" t="s">
        <v>49</v>
      </c>
      <c r="B6">
        <v>0.24167930462284196</v>
      </c>
    </row>
    <row r="7" spans="1:9" x14ac:dyDescent="0.2">
      <c r="A7" t="s">
        <v>50</v>
      </c>
      <c r="B7">
        <v>1.0411061808420266</v>
      </c>
    </row>
    <row r="8" spans="1:9" ht="16" thickBot="1" x14ac:dyDescent="0.25">
      <c r="A8" s="8" t="s">
        <v>51</v>
      </c>
      <c r="B8" s="8">
        <v>200</v>
      </c>
    </row>
    <row r="10" spans="1:9" ht="16" thickBot="1" x14ac:dyDescent="0.25">
      <c r="A10" t="s">
        <v>52</v>
      </c>
    </row>
    <row r="11" spans="1:9" x14ac:dyDescent="0.2">
      <c r="A11" s="31"/>
      <c r="B11" s="31" t="s">
        <v>57</v>
      </c>
      <c r="C11" s="31" t="s">
        <v>58</v>
      </c>
      <c r="D11" s="31" t="s">
        <v>59</v>
      </c>
      <c r="E11" s="31" t="s">
        <v>60</v>
      </c>
      <c r="F11" s="31" t="s">
        <v>61</v>
      </c>
    </row>
    <row r="12" spans="1:9" x14ac:dyDescent="0.2">
      <c r="A12" t="s">
        <v>53</v>
      </c>
      <c r="B12">
        <v>9</v>
      </c>
      <c r="C12">
        <v>78.498308507478754</v>
      </c>
      <c r="D12">
        <v>8.722034278608751</v>
      </c>
      <c r="E12">
        <v>8.0468839771199168</v>
      </c>
      <c r="F12">
        <v>4.506574758400016E-10</v>
      </c>
    </row>
    <row r="13" spans="1:9" x14ac:dyDescent="0.2">
      <c r="A13" t="s">
        <v>54</v>
      </c>
      <c r="B13">
        <v>190</v>
      </c>
      <c r="C13">
        <v>205.94139515961942</v>
      </c>
      <c r="D13">
        <v>1.0839020797874706</v>
      </c>
    </row>
    <row r="14" spans="1:9" ht="16" thickBot="1" x14ac:dyDescent="0.25">
      <c r="A14" s="8" t="s">
        <v>55</v>
      </c>
      <c r="B14" s="8">
        <v>199</v>
      </c>
      <c r="C14" s="8">
        <v>284.43970366709817</v>
      </c>
      <c r="D14" s="8"/>
      <c r="E14" s="8"/>
      <c r="F14" s="8"/>
    </row>
    <row r="15" spans="1:9" ht="16" thickBot="1" x14ac:dyDescent="0.25"/>
    <row r="16" spans="1:9" x14ac:dyDescent="0.2">
      <c r="A16" s="31"/>
      <c r="B16" s="31" t="s">
        <v>62</v>
      </c>
      <c r="C16" s="31" t="s">
        <v>50</v>
      </c>
      <c r="D16" s="31" t="s">
        <v>63</v>
      </c>
      <c r="E16" s="31" t="s">
        <v>64</v>
      </c>
      <c r="F16" s="31" t="s">
        <v>65</v>
      </c>
      <c r="G16" s="31" t="s">
        <v>66</v>
      </c>
      <c r="H16" s="31" t="s">
        <v>67</v>
      </c>
      <c r="I16" s="31" t="s">
        <v>68</v>
      </c>
    </row>
    <row r="17" spans="1:9" x14ac:dyDescent="0.2">
      <c r="A17" t="s">
        <v>56</v>
      </c>
      <c r="B17">
        <v>-0.50684192517119064</v>
      </c>
      <c r="C17">
        <v>0.26789428664154924</v>
      </c>
      <c r="D17">
        <v>-1.8919474973699633</v>
      </c>
      <c r="E17">
        <v>6.0018966199876463E-2</v>
      </c>
      <c r="F17">
        <v>-1.0352709553687842</v>
      </c>
      <c r="G17">
        <v>2.1587105026403042E-2</v>
      </c>
      <c r="H17">
        <v>-1.0352709553687842</v>
      </c>
      <c r="I17">
        <v>2.1587105026403042E-2</v>
      </c>
    </row>
    <row r="18" spans="1:9" x14ac:dyDescent="0.2">
      <c r="A18" t="s">
        <v>30</v>
      </c>
      <c r="B18">
        <v>6.9271590029618788E-2</v>
      </c>
      <c r="C18">
        <v>1.5098774020955079E-2</v>
      </c>
      <c r="D18">
        <v>4.5878950127658769</v>
      </c>
      <c r="E18">
        <v>8.1158106617825796E-6</v>
      </c>
      <c r="F18">
        <v>3.9488832759615615E-2</v>
      </c>
      <c r="G18">
        <v>9.9054347299621953E-2</v>
      </c>
      <c r="H18">
        <v>3.9488832759615615E-2</v>
      </c>
      <c r="I18">
        <v>9.9054347299621953E-2</v>
      </c>
    </row>
    <row r="19" spans="1:9" x14ac:dyDescent="0.2">
      <c r="A19" t="s">
        <v>34</v>
      </c>
      <c r="B19">
        <v>1.2899275525790297E-2</v>
      </c>
      <c r="C19">
        <v>8.0098222204775926E-3</v>
      </c>
      <c r="D19">
        <v>1.6104321882216714</v>
      </c>
      <c r="E19">
        <v>0.10896361336926308</v>
      </c>
      <c r="F19">
        <v>-2.9003245369220868E-3</v>
      </c>
      <c r="G19">
        <v>2.8698875588502679E-2</v>
      </c>
      <c r="H19">
        <v>-2.9003245369220868E-3</v>
      </c>
      <c r="I19">
        <v>2.8698875588502679E-2</v>
      </c>
    </row>
    <row r="20" spans="1:9" x14ac:dyDescent="0.2">
      <c r="A20" t="s">
        <v>25</v>
      </c>
      <c r="B20">
        <v>1.4046022978019979E-2</v>
      </c>
      <c r="C20">
        <v>2.2478957775332289E-2</v>
      </c>
      <c r="D20">
        <v>0.62485205579387004</v>
      </c>
      <c r="E20">
        <v>0.53281783378684067</v>
      </c>
      <c r="F20">
        <v>-3.0294354735840495E-2</v>
      </c>
      <c r="G20">
        <v>5.8386400691880454E-2</v>
      </c>
      <c r="H20">
        <v>-3.0294354735840495E-2</v>
      </c>
      <c r="I20">
        <v>5.8386400691880454E-2</v>
      </c>
    </row>
    <row r="21" spans="1:9" x14ac:dyDescent="0.2">
      <c r="A21" t="s">
        <v>33</v>
      </c>
      <c r="B21">
        <v>-2.0082906280580691E-4</v>
      </c>
      <c r="C21">
        <v>8.2993410450464718E-3</v>
      </c>
      <c r="D21">
        <v>-2.4198193774151906E-2</v>
      </c>
      <c r="E21">
        <v>0.98071991389686952</v>
      </c>
      <c r="F21">
        <v>-1.6571513166200199E-2</v>
      </c>
      <c r="G21">
        <v>1.6169855040588585E-2</v>
      </c>
      <c r="H21">
        <v>-1.6571513166200199E-2</v>
      </c>
      <c r="I21">
        <v>1.6169855040588585E-2</v>
      </c>
    </row>
    <row r="22" spans="1:9" x14ac:dyDescent="0.2">
      <c r="A22" t="s">
        <v>36</v>
      </c>
      <c r="B22">
        <v>0.11088720114483348</v>
      </c>
      <c r="C22">
        <v>2.3886257404382358E-2</v>
      </c>
      <c r="D22">
        <v>4.6423011888203654</v>
      </c>
      <c r="E22">
        <v>6.4130740080597923E-6</v>
      </c>
      <c r="F22">
        <v>6.3770885252151757E-2</v>
      </c>
      <c r="G22">
        <v>0.15800351703751522</v>
      </c>
      <c r="H22">
        <v>6.3770885252151757E-2</v>
      </c>
      <c r="I22">
        <v>0.15800351703751522</v>
      </c>
    </row>
    <row r="23" spans="1:9" x14ac:dyDescent="0.2">
      <c r="A23" t="s">
        <v>26</v>
      </c>
      <c r="B23">
        <v>6.7144409352283066E-2</v>
      </c>
      <c r="C23">
        <v>3.6312393033389199E-2</v>
      </c>
      <c r="D23">
        <v>1.8490769608751443</v>
      </c>
      <c r="E23">
        <v>6.600031825217402E-2</v>
      </c>
      <c r="F23">
        <v>-4.4828092619852659E-3</v>
      </c>
      <c r="G23">
        <v>0.1387716279665514</v>
      </c>
      <c r="H23">
        <v>-4.4828092619852659E-3</v>
      </c>
      <c r="I23">
        <v>0.1387716279665514</v>
      </c>
    </row>
    <row r="24" spans="1:9" x14ac:dyDescent="0.2">
      <c r="A24" t="s">
        <v>69</v>
      </c>
      <c r="B24">
        <v>0.37206973080290801</v>
      </c>
      <c r="C24">
        <v>0.33172884326439156</v>
      </c>
      <c r="D24">
        <v>1.121608019192845</v>
      </c>
      <c r="E24">
        <v>0.26344464822655317</v>
      </c>
      <c r="F24">
        <v>-0.28227476131880069</v>
      </c>
      <c r="G24">
        <v>1.0264142229246167</v>
      </c>
      <c r="H24">
        <v>-0.28227476131880069</v>
      </c>
      <c r="I24">
        <v>1.0264142229246167</v>
      </c>
    </row>
    <row r="25" spans="1:9" x14ac:dyDescent="0.2">
      <c r="A25" t="s">
        <v>35</v>
      </c>
      <c r="B25">
        <v>9.6348909602596792E-3</v>
      </c>
      <c r="C25">
        <v>8.0775773083663887E-3</v>
      </c>
      <c r="D25">
        <v>1.1927946452806208</v>
      </c>
      <c r="E25">
        <v>0.23443724435283433</v>
      </c>
      <c r="F25">
        <v>-6.298357922787331E-3</v>
      </c>
      <c r="G25">
        <v>2.5568139843306689E-2</v>
      </c>
      <c r="H25">
        <v>-6.298357922787331E-3</v>
      </c>
      <c r="I25">
        <v>2.5568139843306689E-2</v>
      </c>
    </row>
    <row r="26" spans="1:9" ht="16" thickBot="1" x14ac:dyDescent="0.25">
      <c r="A26" s="8" t="s">
        <v>40</v>
      </c>
      <c r="B26" s="8">
        <v>-4.5267341181991487E-4</v>
      </c>
      <c r="C26" s="8">
        <v>1.907953021649434E-3</v>
      </c>
      <c r="D26" s="8">
        <v>-0.23725605750427581</v>
      </c>
      <c r="E26" s="8">
        <v>0.81271377537227041</v>
      </c>
      <c r="F26" s="8">
        <v>-4.2161645169579839E-3</v>
      </c>
      <c r="G26" s="8">
        <v>3.3108176933181544E-3</v>
      </c>
      <c r="H26" s="8">
        <v>-4.2161645169579839E-3</v>
      </c>
      <c r="I26" s="8">
        <v>3.3108176933181544E-3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BA9B-CC77-934E-9518-4382DAAABE8E}">
  <dimension ref="A1:R201"/>
  <sheetViews>
    <sheetView workbookViewId="0">
      <pane xSplit="2" topLeftCell="C1" activePane="topRight" state="frozen"/>
      <selection pane="topRight" activeCell="A2" sqref="A2:A3"/>
    </sheetView>
  </sheetViews>
  <sheetFormatPr baseColWidth="10" defaultColWidth="8.83203125" defaultRowHeight="15" x14ac:dyDescent="0.2"/>
  <cols>
    <col min="2" max="2" width="8.83203125" style="6"/>
    <col min="3" max="3" width="13.83203125" bestFit="1" customWidth="1"/>
    <col min="4" max="4" width="15.6640625" bestFit="1" customWidth="1"/>
    <col min="5" max="5" width="12.6640625" bestFit="1" customWidth="1"/>
    <col min="6" max="6" width="14.1640625" bestFit="1" customWidth="1"/>
    <col min="8" max="8" width="12.6640625" bestFit="1" customWidth="1"/>
    <col min="9" max="10" width="11" bestFit="1" customWidth="1"/>
    <col min="13" max="13" width="8.83203125" style="10"/>
  </cols>
  <sheetData>
    <row r="1" spans="1:14" ht="16" thickBot="1" x14ac:dyDescent="0.25">
      <c r="A1" t="s">
        <v>44</v>
      </c>
      <c r="B1" s="1" t="s">
        <v>23</v>
      </c>
      <c r="C1" s="2" t="s">
        <v>24</v>
      </c>
      <c r="D1" s="2" t="s">
        <v>31</v>
      </c>
      <c r="E1" s="2" t="s">
        <v>30</v>
      </c>
      <c r="F1" s="2" t="s">
        <v>34</v>
      </c>
      <c r="G1" s="2" t="s">
        <v>25</v>
      </c>
      <c r="H1" s="2" t="s">
        <v>33</v>
      </c>
      <c r="I1" s="2" t="s">
        <v>36</v>
      </c>
      <c r="J1" s="2" t="s">
        <v>26</v>
      </c>
      <c r="K1" s="2" t="s">
        <v>69</v>
      </c>
      <c r="L1" s="2" t="s">
        <v>35</v>
      </c>
      <c r="M1" s="29" t="s">
        <v>40</v>
      </c>
    </row>
    <row r="2" spans="1:14" ht="16" thickBot="1" x14ac:dyDescent="0.25">
      <c r="A2" s="26">
        <v>1</v>
      </c>
      <c r="B2" s="4">
        <f>Sheet1!B2</f>
        <v>1927</v>
      </c>
      <c r="C2" s="5" t="s">
        <v>16</v>
      </c>
      <c r="D2" s="5">
        <v>0.28199117065002199</v>
      </c>
      <c r="E2" s="5">
        <v>0.37353791975851802</v>
      </c>
      <c r="F2" s="5">
        <v>-1.3506501825635699</v>
      </c>
      <c r="G2" s="5">
        <v>4.0868555503947901</v>
      </c>
      <c r="H2" s="5">
        <v>11.9874687574896</v>
      </c>
      <c r="I2" s="5">
        <v>0.230647024841132</v>
      </c>
      <c r="J2" s="5">
        <v>-7.2862341950250098E-2</v>
      </c>
      <c r="K2" s="5">
        <v>7.0000000000000007E-2</v>
      </c>
      <c r="L2" s="5">
        <v>4.1054954931141001</v>
      </c>
      <c r="M2" s="9">
        <v>107.074193054918</v>
      </c>
      <c r="N2">
        <v>0</v>
      </c>
    </row>
    <row r="3" spans="1:14" x14ac:dyDescent="0.2">
      <c r="A3" s="26">
        <v>1</v>
      </c>
      <c r="B3" s="6">
        <f>B2+1</f>
        <v>1928</v>
      </c>
      <c r="C3" t="s">
        <v>16</v>
      </c>
      <c r="D3">
        <v>0.71689754909422998</v>
      </c>
      <c r="E3">
        <v>-2.5589234058608898</v>
      </c>
      <c r="F3">
        <v>-0.39971814746012702</v>
      </c>
      <c r="G3">
        <v>4.0350263653998502</v>
      </c>
      <c r="H3">
        <v>12.066901770123501</v>
      </c>
      <c r="I3">
        <v>6.4975207009435696</v>
      </c>
      <c r="J3">
        <v>-0.24342475518703499</v>
      </c>
      <c r="K3">
        <v>0.10452099454024188</v>
      </c>
      <c r="L3">
        <v>9.4221670058946501</v>
      </c>
      <c r="M3" s="10">
        <v>107.154964050787</v>
      </c>
      <c r="N3">
        <f>M3/M2-1</f>
        <v>7.5434606196456144E-4</v>
      </c>
    </row>
    <row r="4" spans="1:14" x14ac:dyDescent="0.2">
      <c r="A4" s="27">
        <v>1</v>
      </c>
      <c r="B4" s="6">
        <f t="shared" ref="B4:B11" si="0">B3+1</f>
        <v>1929</v>
      </c>
      <c r="C4" t="s">
        <v>16</v>
      </c>
      <c r="D4">
        <v>0.73836200334906299</v>
      </c>
      <c r="E4">
        <v>-0.45126399195069999</v>
      </c>
      <c r="F4">
        <v>-1.8073794119531099</v>
      </c>
      <c r="G4">
        <v>5.4156717029589299</v>
      </c>
      <c r="H4">
        <v>12.286369705892399</v>
      </c>
      <c r="I4">
        <v>2.5388744463701101</v>
      </c>
      <c r="J4">
        <v>-3.8194574719543697E-2</v>
      </c>
      <c r="K4">
        <v>5.2382645803698225E-2</v>
      </c>
      <c r="L4">
        <v>7.1643625598054497</v>
      </c>
      <c r="M4" s="10">
        <v>105.82591402784099</v>
      </c>
      <c r="N4">
        <f t="shared" ref="N4:N67" si="1">M4/M3-1</f>
        <v>-1.2403065361639154E-2</v>
      </c>
    </row>
    <row r="5" spans="1:14" x14ac:dyDescent="0.2">
      <c r="A5" s="27">
        <v>1</v>
      </c>
      <c r="B5" s="6">
        <f t="shared" si="0"/>
        <v>1930</v>
      </c>
      <c r="C5" t="s">
        <v>16</v>
      </c>
      <c r="D5">
        <v>0.26495661440097401</v>
      </c>
      <c r="E5">
        <v>0.236574015847061</v>
      </c>
      <c r="F5">
        <v>-1.28755364806867</v>
      </c>
      <c r="G5">
        <v>2.1033851534111001</v>
      </c>
      <c r="H5">
        <v>11.6440579313178</v>
      </c>
      <c r="I5">
        <v>0.75568072405160702</v>
      </c>
      <c r="J5">
        <v>-2.2639102540051699</v>
      </c>
      <c r="K5">
        <v>-0.14329965419750101</v>
      </c>
      <c r="L5">
        <v>8.8740715286405205</v>
      </c>
      <c r="M5" s="10">
        <v>105.82591402784099</v>
      </c>
      <c r="N5">
        <f t="shared" si="1"/>
        <v>0</v>
      </c>
    </row>
    <row r="6" spans="1:14" x14ac:dyDescent="0.2">
      <c r="A6" s="27">
        <v>1</v>
      </c>
      <c r="B6" s="6">
        <f t="shared" si="0"/>
        <v>1931</v>
      </c>
      <c r="C6" t="s">
        <v>16</v>
      </c>
      <c r="D6">
        <v>-1.7358958745623301</v>
      </c>
      <c r="E6">
        <v>-3.4323984404477401</v>
      </c>
      <c r="F6">
        <v>2.6683108064826002</v>
      </c>
      <c r="G6">
        <v>4.5810496980956801</v>
      </c>
      <c r="H6">
        <v>12.0754613620022</v>
      </c>
      <c r="I6">
        <v>-3.7844454072790299</v>
      </c>
      <c r="J6">
        <v>-2.1523280681349202</v>
      </c>
      <c r="K6">
        <v>-0.26832507198548572</v>
      </c>
      <c r="L6">
        <v>11.496788348180001</v>
      </c>
      <c r="M6" s="10">
        <v>105.90178981184</v>
      </c>
      <c r="N6">
        <f t="shared" si="1"/>
        <v>7.1698680513221369E-4</v>
      </c>
    </row>
    <row r="7" spans="1:14" x14ac:dyDescent="0.2">
      <c r="A7" s="27">
        <v>1</v>
      </c>
      <c r="B7" s="6">
        <f t="shared" si="0"/>
        <v>1932</v>
      </c>
      <c r="C7" t="s">
        <v>16</v>
      </c>
      <c r="D7">
        <v>-2.8903638301111201</v>
      </c>
      <c r="E7">
        <v>-1.2077726072192201</v>
      </c>
      <c r="F7">
        <v>4.1531612324642797</v>
      </c>
      <c r="G7">
        <v>0.56457473839512495</v>
      </c>
      <c r="H7">
        <v>11.5249084123668</v>
      </c>
      <c r="I7">
        <v>-5.3918977469670697</v>
      </c>
      <c r="J7">
        <v>1.1567178178816599</v>
      </c>
      <c r="K7">
        <v>-0.34911678556667713</v>
      </c>
      <c r="L7">
        <v>-10.3746927123258</v>
      </c>
      <c r="M7" s="10">
        <v>128.48829738412101</v>
      </c>
      <c r="N7">
        <f t="shared" si="1"/>
        <v>0.21327786444791319</v>
      </c>
    </row>
    <row r="8" spans="1:14" x14ac:dyDescent="0.2">
      <c r="A8" s="27">
        <v>1</v>
      </c>
      <c r="B8" s="6">
        <f t="shared" si="0"/>
        <v>1933</v>
      </c>
      <c r="C8" t="s">
        <v>16</v>
      </c>
      <c r="D8">
        <v>-3.0129852336733101</v>
      </c>
      <c r="E8">
        <v>-3.2369513268771199</v>
      </c>
      <c r="F8">
        <v>3.39312023573122</v>
      </c>
      <c r="G8">
        <v>9.1035764050161505E-2</v>
      </c>
      <c r="H8">
        <v>11.785804772828399</v>
      </c>
      <c r="I8">
        <v>0.60201232428268903</v>
      </c>
      <c r="J8">
        <v>-2.5143886241698801</v>
      </c>
      <c r="K8">
        <v>0.62046878882416534</v>
      </c>
      <c r="L8">
        <v>-15.595411170733</v>
      </c>
      <c r="M8" s="10">
        <v>140.508490133088</v>
      </c>
      <c r="N8">
        <f t="shared" si="1"/>
        <v>9.3550875789350174E-2</v>
      </c>
    </row>
    <row r="9" spans="1:14" x14ac:dyDescent="0.2">
      <c r="A9" s="27">
        <v>1</v>
      </c>
      <c r="B9" s="6">
        <f t="shared" si="0"/>
        <v>1934</v>
      </c>
      <c r="C9" t="s">
        <v>16</v>
      </c>
      <c r="D9">
        <v>-1.09196224691733</v>
      </c>
      <c r="E9">
        <v>-0.68029178719658001</v>
      </c>
      <c r="F9">
        <v>-0.16174492345140801</v>
      </c>
      <c r="G9">
        <v>0.85183464932652098</v>
      </c>
      <c r="H9">
        <v>13.4751258260006</v>
      </c>
      <c r="I9">
        <v>7.2357019064124799</v>
      </c>
      <c r="J9">
        <v>-2.3576332870596102</v>
      </c>
      <c r="K9">
        <v>0.29522105801175447</v>
      </c>
      <c r="L9">
        <v>3.4440009516005499</v>
      </c>
      <c r="M9" s="10">
        <v>153.24093620926999</v>
      </c>
      <c r="N9">
        <f t="shared" si="1"/>
        <v>9.0616916202871156E-2</v>
      </c>
    </row>
    <row r="10" spans="1:14" x14ac:dyDescent="0.2">
      <c r="A10" s="27">
        <v>1</v>
      </c>
      <c r="B10" s="6">
        <f>B9+1</f>
        <v>1935</v>
      </c>
      <c r="C10" t="s">
        <v>16</v>
      </c>
      <c r="D10">
        <v>-0.51255898919165699</v>
      </c>
      <c r="E10">
        <v>-0.33014715130172601</v>
      </c>
      <c r="F10">
        <v>-5.11594388572159</v>
      </c>
      <c r="G10">
        <v>0.20827299800551899</v>
      </c>
      <c r="H10">
        <v>12.7872770226315</v>
      </c>
      <c r="I10">
        <v>4.8211534758328503</v>
      </c>
      <c r="J10">
        <v>-2.4581848197200999</v>
      </c>
      <c r="K10">
        <v>1.62187758967689E-2</v>
      </c>
      <c r="L10">
        <v>-7.5731542914539304E-2</v>
      </c>
      <c r="M10" s="10">
        <v>171.620009178522</v>
      </c>
      <c r="N10">
        <f t="shared" si="1"/>
        <v>0.11993579146601552</v>
      </c>
    </row>
    <row r="11" spans="1:14" ht="16" thickBot="1" x14ac:dyDescent="0.25">
      <c r="A11" s="28">
        <v>1</v>
      </c>
      <c r="B11" s="7">
        <f t="shared" si="0"/>
        <v>1936</v>
      </c>
      <c r="C11" s="8" t="s">
        <v>16</v>
      </c>
      <c r="D11" s="8">
        <v>-1.51773481504031E-2</v>
      </c>
      <c r="E11" s="8">
        <v>0.87385234561689895</v>
      </c>
      <c r="F11" s="8">
        <v>-6.4163090128755398</v>
      </c>
      <c r="G11" s="8">
        <v>0.49323788967514398</v>
      </c>
      <c r="H11" s="8">
        <v>12.641079193344</v>
      </c>
      <c r="I11" s="8">
        <v>3.8526381667629499</v>
      </c>
      <c r="J11" s="8">
        <v>-2.4396503207893998</v>
      </c>
      <c r="K11" s="8">
        <v>0.10247747747747749</v>
      </c>
      <c r="L11" s="8">
        <v>2.27221062091935</v>
      </c>
      <c r="M11" s="11">
        <v>178.69848554382699</v>
      </c>
      <c r="N11">
        <f t="shared" si="1"/>
        <v>4.1245052946838223E-2</v>
      </c>
    </row>
    <row r="12" spans="1:14" x14ac:dyDescent="0.2">
      <c r="A12">
        <v>2</v>
      </c>
      <c r="B12" s="6">
        <v>1926</v>
      </c>
      <c r="C12" t="s">
        <v>29</v>
      </c>
      <c r="D12" cm="1">
        <f t="array" ref="D12:F12">D13:F13</f>
        <v>0.8</v>
      </c>
      <c r="E12">
        <v>2.5</v>
      </c>
      <c r="F12">
        <v>0.7</v>
      </c>
      <c r="G12">
        <v>3.4284084185613999</v>
      </c>
      <c r="H12">
        <v>6.8628771236562596</v>
      </c>
      <c r="I12">
        <v>6.38931749677048</v>
      </c>
      <c r="J12">
        <v>-0.18629352450776401</v>
      </c>
      <c r="K12">
        <v>7.0000000000000007E-2</v>
      </c>
      <c r="L12">
        <v>8.7125748502994007</v>
      </c>
      <c r="M12" s="10">
        <f>M13</f>
        <v>107.074193054918</v>
      </c>
      <c r="N12">
        <v>0</v>
      </c>
    </row>
    <row r="13" spans="1:14" x14ac:dyDescent="0.2">
      <c r="A13">
        <v>2</v>
      </c>
      <c r="B13" s="6">
        <f>B12+1</f>
        <v>1927</v>
      </c>
      <c r="C13" t="s">
        <v>29</v>
      </c>
      <c r="D13">
        <v>0.8</v>
      </c>
      <c r="E13">
        <v>2.5</v>
      </c>
      <c r="F13">
        <v>0.7</v>
      </c>
      <c r="G13">
        <v>2.7180289071084398</v>
      </c>
      <c r="H13">
        <v>6.6657914234833804</v>
      </c>
      <c r="I13">
        <v>1.22344624659107</v>
      </c>
      <c r="J13">
        <v>0.17969313254602201</v>
      </c>
      <c r="K13">
        <v>0.24423258860344887</v>
      </c>
      <c r="L13">
        <v>2.6497005988023901</v>
      </c>
      <c r="M13" s="10" cm="1">
        <f t="array" ref="M13:M22">M2:M11</f>
        <v>107.074193054918</v>
      </c>
      <c r="N13">
        <f t="shared" si="1"/>
        <v>0</v>
      </c>
    </row>
    <row r="14" spans="1:14" x14ac:dyDescent="0.2">
      <c r="A14">
        <v>2</v>
      </c>
      <c r="B14" s="6">
        <f t="shared" ref="B14:B22" si="2">B13+1</f>
        <v>1928</v>
      </c>
      <c r="C14" t="s">
        <v>29</v>
      </c>
      <c r="D14">
        <v>1.05</v>
      </c>
      <c r="E14">
        <v>2</v>
      </c>
      <c r="F14">
        <v>2.2000000000000002</v>
      </c>
      <c r="G14">
        <v>4.5280830022821403</v>
      </c>
      <c r="H14">
        <v>6.5768025893332904</v>
      </c>
      <c r="I14">
        <v>1.02456222190325</v>
      </c>
      <c r="J14">
        <v>1.0362006112978399</v>
      </c>
      <c r="K14">
        <v>0.32704568052874894</v>
      </c>
      <c r="L14">
        <v>3.4580838323353298</v>
      </c>
      <c r="M14" s="10">
        <v>107.154964050787</v>
      </c>
      <c r="N14">
        <f t="shared" si="1"/>
        <v>7.5434606196456144E-4</v>
      </c>
    </row>
    <row r="15" spans="1:14" x14ac:dyDescent="0.2">
      <c r="A15">
        <v>2</v>
      </c>
      <c r="B15" s="6">
        <f t="shared" si="2"/>
        <v>1929</v>
      </c>
      <c r="C15" t="s">
        <v>29</v>
      </c>
      <c r="D15">
        <v>1.3</v>
      </c>
      <c r="E15">
        <v>3.8</v>
      </c>
      <c r="F15">
        <v>2.35</v>
      </c>
      <c r="G15">
        <v>3.16780069309441</v>
      </c>
      <c r="H15">
        <v>6.4366770222667</v>
      </c>
      <c r="I15">
        <v>6.4649418688100999</v>
      </c>
      <c r="J15">
        <v>2.1251434315945499</v>
      </c>
      <c r="K15">
        <v>0.4855543557308708</v>
      </c>
      <c r="L15">
        <v>0.76347305389222697</v>
      </c>
      <c r="M15" s="10">
        <v>105.82591402784099</v>
      </c>
      <c r="N15">
        <f t="shared" si="1"/>
        <v>-1.2403065361639154E-2</v>
      </c>
    </row>
    <row r="16" spans="1:14" x14ac:dyDescent="0.2">
      <c r="A16">
        <v>2</v>
      </c>
      <c r="B16" s="6">
        <f t="shared" si="2"/>
        <v>1930</v>
      </c>
      <c r="C16" t="s">
        <v>29</v>
      </c>
      <c r="D16">
        <v>0.1</v>
      </c>
      <c r="E16">
        <v>1.27</v>
      </c>
      <c r="F16">
        <v>4.6500000000000004</v>
      </c>
      <c r="G16">
        <v>1.66139802214521</v>
      </c>
      <c r="H16">
        <v>6.4688877045664297</v>
      </c>
      <c r="I16">
        <v>-6.1532941007607302</v>
      </c>
      <c r="J16">
        <v>5.4610627646502097E-2</v>
      </c>
      <c r="K16">
        <v>-0.29784898383028935</v>
      </c>
      <c r="L16">
        <v>3.9970059880239499</v>
      </c>
      <c r="M16" s="10">
        <v>105.82591402784099</v>
      </c>
      <c r="N16">
        <f t="shared" si="1"/>
        <v>0</v>
      </c>
    </row>
    <row r="17" spans="1:18" x14ac:dyDescent="0.2">
      <c r="A17">
        <v>2</v>
      </c>
      <c r="B17" s="6">
        <f t="shared" si="2"/>
        <v>1931</v>
      </c>
      <c r="C17" t="s">
        <v>29</v>
      </c>
      <c r="D17">
        <v>-2.48</v>
      </c>
      <c r="E17">
        <v>-6.7</v>
      </c>
      <c r="F17">
        <v>13</v>
      </c>
      <c r="G17">
        <v>1.5402544163637899</v>
      </c>
      <c r="H17">
        <v>7.4710584809764597</v>
      </c>
      <c r="I17">
        <v>-7.0196103057269896</v>
      </c>
      <c r="J17">
        <v>-1.6258694747103399</v>
      </c>
      <c r="K17">
        <v>-0.34993239246175956</v>
      </c>
      <c r="L17">
        <v>15.0449101796407</v>
      </c>
      <c r="M17" s="10">
        <v>105.90178981184</v>
      </c>
      <c r="N17">
        <f t="shared" si="1"/>
        <v>7.1698680513221369E-4</v>
      </c>
    </row>
    <row r="18" spans="1:18" x14ac:dyDescent="0.2">
      <c r="A18">
        <v>2</v>
      </c>
      <c r="B18" s="6">
        <f t="shared" si="2"/>
        <v>1932</v>
      </c>
      <c r="C18" t="s">
        <v>29</v>
      </c>
      <c r="D18">
        <v>-3.4</v>
      </c>
      <c r="E18">
        <v>-8.9</v>
      </c>
      <c r="F18">
        <v>27.8</v>
      </c>
      <c r="G18">
        <v>3.4422280449666297E-2</v>
      </c>
      <c r="H18">
        <v>9.1642120861551195</v>
      </c>
      <c r="I18">
        <v>-11.89805511698</v>
      </c>
      <c r="J18">
        <v>-2.1910864245169002</v>
      </c>
      <c r="K18">
        <v>-0.43459325944944782</v>
      </c>
      <c r="L18">
        <v>23.802395209580801</v>
      </c>
      <c r="M18" s="10">
        <v>128.48829738412101</v>
      </c>
      <c r="N18">
        <f t="shared" si="1"/>
        <v>0.21327786444791319</v>
      </c>
    </row>
    <row r="19" spans="1:18" x14ac:dyDescent="0.2">
      <c r="A19">
        <v>2</v>
      </c>
      <c r="B19" s="6">
        <f t="shared" si="2"/>
        <v>1933</v>
      </c>
      <c r="C19" t="s">
        <v>29</v>
      </c>
      <c r="D19">
        <v>-3</v>
      </c>
      <c r="E19">
        <v>-6.2</v>
      </c>
      <c r="F19">
        <v>30</v>
      </c>
      <c r="G19">
        <v>0.121967711943201</v>
      </c>
      <c r="H19">
        <v>9.7398187986637303</v>
      </c>
      <c r="I19">
        <v>-2.8285129898090902</v>
      </c>
      <c r="J19">
        <v>-3.3231044182008298</v>
      </c>
      <c r="K19">
        <v>0.36770707593263641</v>
      </c>
      <c r="L19">
        <v>-3.4131736526946002</v>
      </c>
      <c r="M19" s="10">
        <v>140.508490133088</v>
      </c>
      <c r="N19">
        <f t="shared" si="1"/>
        <v>9.3550875789350174E-2</v>
      </c>
    </row>
    <row r="20" spans="1:18" x14ac:dyDescent="0.2">
      <c r="A20">
        <v>2</v>
      </c>
      <c r="B20" s="6">
        <f t="shared" si="2"/>
        <v>1934</v>
      </c>
      <c r="C20" t="s">
        <v>29</v>
      </c>
      <c r="D20">
        <v>-2.1</v>
      </c>
      <c r="E20">
        <v>6.2</v>
      </c>
      <c r="F20">
        <v>13.1</v>
      </c>
      <c r="G20">
        <v>0.14675428957822501</v>
      </c>
      <c r="H20">
        <v>11.1685536389751</v>
      </c>
      <c r="I20">
        <v>9.2035668149849297</v>
      </c>
      <c r="J20">
        <v>-3.10303719574731</v>
      </c>
      <c r="K20">
        <v>-0.10628729931915759</v>
      </c>
      <c r="L20">
        <v>-9.4760479041916099</v>
      </c>
      <c r="M20" s="10">
        <v>153.24093620926999</v>
      </c>
      <c r="N20">
        <f t="shared" si="1"/>
        <v>9.0616916202871156E-2</v>
      </c>
    </row>
    <row r="21" spans="1:18" x14ac:dyDescent="0.2">
      <c r="A21">
        <v>2</v>
      </c>
      <c r="B21" s="6">
        <f t="shared" si="2"/>
        <v>1935</v>
      </c>
      <c r="C21" t="s">
        <v>29</v>
      </c>
      <c r="D21">
        <v>-1.4</v>
      </c>
      <c r="E21">
        <v>5.9</v>
      </c>
      <c r="F21">
        <v>-8.1999999999999993</v>
      </c>
      <c r="G21">
        <v>2.44696137266497E-2</v>
      </c>
      <c r="H21">
        <v>11.7441603514837</v>
      </c>
      <c r="I21">
        <v>9.5792665422707</v>
      </c>
      <c r="J21">
        <v>-3.02888940789407</v>
      </c>
      <c r="K21">
        <v>0.2711497766282629</v>
      </c>
      <c r="L21">
        <v>-2.4700598802395102</v>
      </c>
      <c r="M21" s="10">
        <v>171.620009178522</v>
      </c>
      <c r="N21">
        <f t="shared" si="1"/>
        <v>0.11993579146601552</v>
      </c>
    </row>
    <row r="22" spans="1:18" ht="16" thickBot="1" x14ac:dyDescent="0.25">
      <c r="A22">
        <v>2</v>
      </c>
      <c r="B22" s="6">
        <f t="shared" si="2"/>
        <v>1936</v>
      </c>
      <c r="C22" t="s">
        <v>29</v>
      </c>
      <c r="D22">
        <v>-0.18</v>
      </c>
      <c r="E22">
        <v>5.8</v>
      </c>
      <c r="F22">
        <v>-19.399999999999999</v>
      </c>
      <c r="G22">
        <v>0.13337841264474701</v>
      </c>
      <c r="H22">
        <v>12.685003444645201</v>
      </c>
      <c r="I22">
        <v>12.343458446964201</v>
      </c>
      <c r="J22">
        <v>-2.7934077315976</v>
      </c>
      <c r="K22">
        <v>0.22463097924605213</v>
      </c>
      <c r="L22">
        <v>-6.6467065868263298</v>
      </c>
      <c r="M22" s="10">
        <v>178.69848554382699</v>
      </c>
      <c r="N22">
        <f t="shared" si="1"/>
        <v>4.1245052946838223E-2</v>
      </c>
    </row>
    <row r="23" spans="1:18" x14ac:dyDescent="0.2">
      <c r="A23" s="26">
        <v>3</v>
      </c>
      <c r="B23" s="4">
        <v>1925</v>
      </c>
      <c r="C23" s="5" t="s">
        <v>0</v>
      </c>
      <c r="D23" s="5">
        <v>-0.63710639860460805</v>
      </c>
      <c r="E23" s="5">
        <v>-1.3471613896480501</v>
      </c>
      <c r="F23" s="5">
        <v>4.5235065606696603</v>
      </c>
      <c r="G23" s="5">
        <v>5.8362351318738099</v>
      </c>
      <c r="H23" s="5">
        <v>0.19750707076942675</v>
      </c>
      <c r="I23" s="5">
        <v>3.0641391265447502</v>
      </c>
      <c r="J23" s="5">
        <v>1.1144459489716401</v>
      </c>
      <c r="K23" s="5">
        <v>0.1</v>
      </c>
      <c r="L23" s="5">
        <v>5.6039790452645803</v>
      </c>
      <c r="M23" s="9">
        <v>125.482835096798</v>
      </c>
      <c r="N23">
        <v>0</v>
      </c>
      <c r="R23" s="30"/>
    </row>
    <row r="24" spans="1:18" x14ac:dyDescent="0.2">
      <c r="A24" s="27">
        <v>3</v>
      </c>
      <c r="B24" s="6">
        <f>B23+1</f>
        <v>1926</v>
      </c>
      <c r="C24" t="s">
        <v>0</v>
      </c>
      <c r="D24">
        <v>0.27741439456531503</v>
      </c>
      <c r="E24">
        <v>-9.0513300951176205</v>
      </c>
      <c r="F24">
        <v>3.9543699712557299</v>
      </c>
      <c r="G24">
        <v>6.5147388381313496</v>
      </c>
      <c r="H24">
        <v>0.19544149578824754</v>
      </c>
      <c r="I24">
        <v>2.6749426829950198</v>
      </c>
      <c r="J24">
        <v>1.0099583115650701</v>
      </c>
      <c r="K24">
        <v>0.35974794729807291</v>
      </c>
      <c r="L24">
        <v>11.061628112307901</v>
      </c>
      <c r="M24" s="10">
        <v>112.489026475072</v>
      </c>
      <c r="N24">
        <f t="shared" si="1"/>
        <v>-0.10355048650042475</v>
      </c>
      <c r="R24" s="30"/>
    </row>
    <row r="25" spans="1:18" x14ac:dyDescent="0.2">
      <c r="A25" s="27">
        <v>3</v>
      </c>
      <c r="B25" s="6">
        <f t="shared" ref="B25:B34" si="3">B24+1</f>
        <v>1927</v>
      </c>
      <c r="C25" t="s">
        <v>0</v>
      </c>
      <c r="D25">
        <v>0.98421004314697402</v>
      </c>
      <c r="E25">
        <v>-5.5497607141578396</v>
      </c>
      <c r="F25">
        <v>3.4443335297725701</v>
      </c>
      <c r="G25">
        <v>5.3245992070332697</v>
      </c>
      <c r="H25">
        <v>0.1891576958245636</v>
      </c>
      <c r="I25">
        <v>1.58675837387463</v>
      </c>
      <c r="J25">
        <v>0.369065262125367</v>
      </c>
      <c r="K25">
        <v>3.507622212860162E-2</v>
      </c>
      <c r="L25">
        <v>13.2974277473659</v>
      </c>
      <c r="M25" s="10">
        <v>102.24437462458999</v>
      </c>
      <c r="N25">
        <f t="shared" si="1"/>
        <v>-9.1072455434150767E-2</v>
      </c>
      <c r="R25" s="30"/>
    </row>
    <row r="26" spans="1:18" x14ac:dyDescent="0.2">
      <c r="A26" s="27">
        <v>3</v>
      </c>
      <c r="B26" s="6">
        <f t="shared" si="3"/>
        <v>1928</v>
      </c>
      <c r="C26" t="s">
        <v>0</v>
      </c>
      <c r="D26">
        <v>0.48955751399981601</v>
      </c>
      <c r="E26">
        <v>-4.7742597653685896</v>
      </c>
      <c r="F26">
        <v>4.0489735047566402</v>
      </c>
      <c r="G26">
        <v>2.2768488191691101</v>
      </c>
      <c r="H26">
        <v>0.16951051096592332</v>
      </c>
      <c r="I26">
        <v>5.0481462841804996</v>
      </c>
      <c r="J26">
        <v>-2.9860540990073599</v>
      </c>
      <c r="K26">
        <v>-9.7863937169301307E-2</v>
      </c>
      <c r="L26">
        <v>8.7514273941962397</v>
      </c>
      <c r="M26" s="10">
        <v>106.32768100540601</v>
      </c>
      <c r="N26">
        <f t="shared" si="1"/>
        <v>3.9936733886912323E-2</v>
      </c>
      <c r="R26" s="30"/>
    </row>
    <row r="27" spans="1:18" x14ac:dyDescent="0.2">
      <c r="A27" s="27">
        <v>3</v>
      </c>
      <c r="B27" s="6">
        <f t="shared" si="3"/>
        <v>1929</v>
      </c>
      <c r="C27" t="s">
        <v>0</v>
      </c>
      <c r="D27">
        <v>0.50747039383089998</v>
      </c>
      <c r="E27">
        <v>1.9012781802341501</v>
      </c>
      <c r="F27">
        <v>4.4633239924471102</v>
      </c>
      <c r="G27">
        <v>2.5512842613342501</v>
      </c>
      <c r="H27">
        <v>0.16437180721761183</v>
      </c>
      <c r="I27">
        <v>5.3165576245596302</v>
      </c>
      <c r="J27">
        <v>-2.7331513684681799</v>
      </c>
      <c r="K27">
        <v>-4.6319659119392065E-2</v>
      </c>
      <c r="L27">
        <v>6.9149449643886998</v>
      </c>
      <c r="M27" s="10">
        <v>105.308875849004</v>
      </c>
      <c r="N27">
        <f t="shared" si="1"/>
        <v>-9.5817490494334301E-3</v>
      </c>
      <c r="R27" s="30"/>
    </row>
    <row r="28" spans="1:18" x14ac:dyDescent="0.2">
      <c r="A28" s="27">
        <v>3</v>
      </c>
      <c r="B28" s="6">
        <f t="shared" si="3"/>
        <v>1930</v>
      </c>
      <c r="C28" t="s">
        <v>0</v>
      </c>
      <c r="D28">
        <v>-0.19105159276599601</v>
      </c>
      <c r="E28">
        <v>-2.1122793617453</v>
      </c>
      <c r="F28">
        <v>5.7992471165526096</v>
      </c>
      <c r="G28">
        <v>2.8829512153076999</v>
      </c>
      <c r="H28">
        <v>0.17380328812644494</v>
      </c>
      <c r="I28">
        <v>0.475088072471052</v>
      </c>
      <c r="J28">
        <v>-2.4454905054856</v>
      </c>
      <c r="K28">
        <v>-0.17412787132269247</v>
      </c>
      <c r="L28">
        <v>10.3392783565836</v>
      </c>
      <c r="M28" s="10">
        <v>109.39218222981999</v>
      </c>
      <c r="N28">
        <f t="shared" si="1"/>
        <v>3.877457002457052E-2</v>
      </c>
      <c r="R28" s="30"/>
    </row>
    <row r="29" spans="1:18" x14ac:dyDescent="0.2">
      <c r="A29" s="27">
        <v>3</v>
      </c>
      <c r="B29" s="6">
        <f t="shared" si="3"/>
        <v>1931</v>
      </c>
      <c r="C29" t="s">
        <v>0</v>
      </c>
      <c r="D29">
        <v>-1.88859818231892</v>
      </c>
      <c r="E29">
        <v>-15.9663925719946</v>
      </c>
      <c r="F29">
        <v>10.0717764922366</v>
      </c>
      <c r="G29">
        <v>2.0355111187726198</v>
      </c>
      <c r="H29">
        <v>0.18496436974789915</v>
      </c>
      <c r="I29">
        <v>-3.9872504613319899</v>
      </c>
      <c r="J29">
        <v>-2.51415381006706</v>
      </c>
      <c r="K29">
        <v>-0.11155192532088642</v>
      </c>
      <c r="L29">
        <v>3.17982223791864</v>
      </c>
      <c r="M29" s="10">
        <v>99.107101603289806</v>
      </c>
      <c r="N29">
        <f t="shared" si="1"/>
        <v>-9.4020252790299574E-2</v>
      </c>
      <c r="R29" s="30"/>
    </row>
    <row r="30" spans="1:18" x14ac:dyDescent="0.2">
      <c r="A30" s="27">
        <v>3</v>
      </c>
      <c r="B30" s="6">
        <f t="shared" si="3"/>
        <v>1932</v>
      </c>
      <c r="C30" t="s">
        <v>0</v>
      </c>
      <c r="D30">
        <v>-1.35185440190948</v>
      </c>
      <c r="E30">
        <v>-2.5465742144144401</v>
      </c>
      <c r="F30">
        <v>11.0033073953359</v>
      </c>
      <c r="G30">
        <v>6.0410274090674001</v>
      </c>
      <c r="H30">
        <v>0.17804252833434239</v>
      </c>
      <c r="I30">
        <v>4.21607112900519</v>
      </c>
      <c r="J30">
        <v>5.9760531394267902E-2</v>
      </c>
      <c r="K30">
        <v>-0.16343100031043301</v>
      </c>
      <c r="L30">
        <v>13.9039378421331</v>
      </c>
      <c r="M30" s="10">
        <v>143.06935267754</v>
      </c>
      <c r="N30">
        <f t="shared" si="1"/>
        <v>0.44358325854613523</v>
      </c>
      <c r="R30" s="30"/>
    </row>
    <row r="31" spans="1:18" x14ac:dyDescent="0.2">
      <c r="A31" s="27">
        <v>3</v>
      </c>
      <c r="B31" s="6">
        <f t="shared" si="3"/>
        <v>1933</v>
      </c>
      <c r="C31" t="s">
        <v>0</v>
      </c>
      <c r="D31">
        <v>1.2409345451207101</v>
      </c>
      <c r="E31">
        <v>5.7999069112434398</v>
      </c>
      <c r="F31">
        <v>8.5501100460630006</v>
      </c>
      <c r="G31">
        <v>3.1415273228753602</v>
      </c>
      <c r="H31">
        <v>0.16883734232380773</v>
      </c>
      <c r="I31">
        <v>9.2398367164345903</v>
      </c>
      <c r="J31">
        <v>-2.1166743077693999</v>
      </c>
      <c r="K31">
        <v>-0.13170439300088599</v>
      </c>
      <c r="L31">
        <v>-43.374536464771303</v>
      </c>
      <c r="M31" s="10">
        <v>237.22797209259301</v>
      </c>
      <c r="N31">
        <f t="shared" si="1"/>
        <v>0.65813270035039917</v>
      </c>
      <c r="R31" s="30"/>
    </row>
    <row r="32" spans="1:18" x14ac:dyDescent="0.2">
      <c r="A32" s="27">
        <v>3</v>
      </c>
      <c r="B32" s="6">
        <f t="shared" si="3"/>
        <v>1934</v>
      </c>
      <c r="C32" t="s">
        <v>0</v>
      </c>
      <c r="D32">
        <v>2.9095634811346698</v>
      </c>
      <c r="E32">
        <v>2.7899177715983701</v>
      </c>
      <c r="F32">
        <v>1.7258830745547</v>
      </c>
      <c r="G32">
        <v>2.3988967419410399</v>
      </c>
      <c r="H32">
        <v>0.17189610757199481</v>
      </c>
      <c r="I32">
        <v>5.5301683162780204</v>
      </c>
      <c r="J32">
        <v>-2.2563465577720598</v>
      </c>
      <c r="K32">
        <v>0.73233834116835195</v>
      </c>
      <c r="L32">
        <v>-25.643534051444998</v>
      </c>
      <c r="M32" s="10">
        <v>275.691909624358</v>
      </c>
      <c r="N32">
        <f t="shared" si="1"/>
        <v>0.16213913221309362</v>
      </c>
      <c r="R32" s="30"/>
    </row>
    <row r="33" spans="1:18" x14ac:dyDescent="0.2">
      <c r="A33" s="27">
        <v>3</v>
      </c>
      <c r="B33" s="6">
        <f t="shared" si="3"/>
        <v>1935</v>
      </c>
      <c r="C33" t="s">
        <v>0</v>
      </c>
      <c r="D33">
        <v>1.5912397870191799</v>
      </c>
      <c r="E33">
        <v>1.50242866178945</v>
      </c>
      <c r="F33">
        <v>-2.38017006025472</v>
      </c>
      <c r="G33">
        <v>2.28029650060334</v>
      </c>
      <c r="H33">
        <v>0.17015250927887068</v>
      </c>
      <c r="I33">
        <v>2.43784599899345</v>
      </c>
      <c r="J33">
        <v>-2.2188163043362299</v>
      </c>
      <c r="K33">
        <v>-0.15278199483831834</v>
      </c>
      <c r="L33">
        <v>-27.480016481252498</v>
      </c>
      <c r="M33" s="10">
        <v>285.216929261193</v>
      </c>
      <c r="N33">
        <f t="shared" si="1"/>
        <v>3.4549507273583968E-2</v>
      </c>
      <c r="R33" s="30"/>
    </row>
    <row r="34" spans="1:18" ht="16" thickBot="1" x14ac:dyDescent="0.25">
      <c r="A34" s="28">
        <v>3</v>
      </c>
      <c r="B34" s="7">
        <f t="shared" si="3"/>
        <v>1936</v>
      </c>
      <c r="C34" s="8" t="s">
        <v>0</v>
      </c>
      <c r="D34" s="8">
        <v>0.72266593225006803</v>
      </c>
      <c r="E34" s="8">
        <v>2.4458474060459898</v>
      </c>
      <c r="F34" s="8">
        <v>-2.5195857938350099</v>
      </c>
      <c r="G34" s="8">
        <v>2.2685743837269401</v>
      </c>
      <c r="H34" s="8">
        <v>0.16585528707461752</v>
      </c>
      <c r="I34" s="8">
        <v>4.6220432813286303</v>
      </c>
      <c r="J34" s="8">
        <v>-2.1458881982279698</v>
      </c>
      <c r="K34" s="8">
        <v>8.4869526262739026E-2</v>
      </c>
      <c r="L34" s="8">
        <v>-23.464241568073401</v>
      </c>
      <c r="M34" s="11">
        <v>292.21919327265101</v>
      </c>
      <c r="N34">
        <f t="shared" si="1"/>
        <v>2.4550660543174008E-2</v>
      </c>
      <c r="R34" s="30"/>
    </row>
    <row r="35" spans="1:18" x14ac:dyDescent="0.2">
      <c r="A35">
        <v>4</v>
      </c>
      <c r="B35" s="6">
        <v>1926</v>
      </c>
      <c r="C35" t="s">
        <v>1</v>
      </c>
      <c r="D35">
        <v>1.3571351896777499</v>
      </c>
      <c r="E35">
        <v>23.5761931720284</v>
      </c>
      <c r="F35">
        <v>-36.297961446079903</v>
      </c>
      <c r="G35">
        <v>4.3754940711462398</v>
      </c>
      <c r="H35">
        <v>0.16716506686457591</v>
      </c>
      <c r="I35">
        <v>3.17246003565932</v>
      </c>
      <c r="J35">
        <v>-0.73362861483789299</v>
      </c>
      <c r="K35">
        <v>0.2</v>
      </c>
      <c r="L35">
        <v>-34.531227217496898</v>
      </c>
      <c r="M35" s="10">
        <v>112.268803945746</v>
      </c>
      <c r="N35">
        <v>0</v>
      </c>
      <c r="R35" s="30"/>
    </row>
    <row r="36" spans="1:18" x14ac:dyDescent="0.2">
      <c r="A36">
        <v>4</v>
      </c>
      <c r="B36" s="6">
        <f>B35+1</f>
        <v>1927</v>
      </c>
      <c r="C36" t="s">
        <v>1</v>
      </c>
      <c r="D36">
        <v>0.65794671418450401</v>
      </c>
      <c r="E36">
        <v>35.240849681246402</v>
      </c>
      <c r="F36">
        <v>-29.869844593623601</v>
      </c>
      <c r="G36">
        <v>1.9565217391304299</v>
      </c>
      <c r="H36">
        <v>0.17797115712009967</v>
      </c>
      <c r="I36">
        <v>1.63179469986742</v>
      </c>
      <c r="J36">
        <v>1.91540699920171</v>
      </c>
      <c r="K36">
        <v>0.39183874139626251</v>
      </c>
      <c r="L36">
        <v>-13.427946537059499</v>
      </c>
      <c r="M36" s="10">
        <v>165.08109646210701</v>
      </c>
      <c r="N36">
        <f t="shared" si="1"/>
        <v>0.4704093270814802</v>
      </c>
      <c r="R36" s="30"/>
    </row>
    <row r="37" spans="1:18" x14ac:dyDescent="0.2">
      <c r="A37">
        <v>4</v>
      </c>
      <c r="B37" s="6">
        <f t="shared" ref="B37:B47" si="4">B36+1</f>
        <v>1928</v>
      </c>
      <c r="C37" t="s">
        <v>1</v>
      </c>
      <c r="D37">
        <v>0.79132226969235098</v>
      </c>
      <c r="E37">
        <v>-16.011273291161</v>
      </c>
      <c r="F37">
        <v>-10.457391554269</v>
      </c>
      <c r="G37">
        <v>2.7747035573122498</v>
      </c>
      <c r="H37">
        <v>0.18419004502258271</v>
      </c>
      <c r="I37">
        <v>3.6556894896450798</v>
      </c>
      <c r="J37">
        <v>-1.4591970746530001</v>
      </c>
      <c r="K37">
        <v>0.49000353232073501</v>
      </c>
      <c r="L37">
        <v>-17.681652490886901</v>
      </c>
      <c r="M37" s="10">
        <v>107.01887508299301</v>
      </c>
      <c r="N37">
        <f t="shared" si="1"/>
        <v>-0.35171938291821137</v>
      </c>
      <c r="R37" s="30"/>
    </row>
    <row r="38" spans="1:18" x14ac:dyDescent="0.2">
      <c r="A38">
        <v>4</v>
      </c>
      <c r="B38" s="6">
        <f t="shared" si="4"/>
        <v>1929</v>
      </c>
      <c r="C38" t="s">
        <v>1</v>
      </c>
      <c r="D38">
        <v>2.08487730522338</v>
      </c>
      <c r="E38">
        <v>13.770645137470099</v>
      </c>
      <c r="F38">
        <v>-10.8416990002258</v>
      </c>
      <c r="G38">
        <v>3.3794466403161998</v>
      </c>
      <c r="H38">
        <v>0.18906484652533131</v>
      </c>
      <c r="I38">
        <v>8.0088691120220599</v>
      </c>
      <c r="J38">
        <v>-0.91007648134318497</v>
      </c>
      <c r="K38">
        <v>0.45521786544023479</v>
      </c>
      <c r="L38">
        <v>-8.4782503037666803</v>
      </c>
      <c r="M38" s="10">
        <v>109.45176894622</v>
      </c>
      <c r="N38">
        <f t="shared" si="1"/>
        <v>2.2733315607553317E-2</v>
      </c>
      <c r="R38" s="30"/>
    </row>
    <row r="39" spans="1:18" x14ac:dyDescent="0.2">
      <c r="A39">
        <v>4</v>
      </c>
      <c r="B39" s="6">
        <f t="shared" si="4"/>
        <v>1930</v>
      </c>
      <c r="C39" t="s">
        <v>1</v>
      </c>
      <c r="D39">
        <v>2.3456922647545002</v>
      </c>
      <c r="E39">
        <v>2.57981145543607</v>
      </c>
      <c r="F39">
        <v>-5.1082917616143897</v>
      </c>
      <c r="G39">
        <v>1.8498023715415</v>
      </c>
      <c r="H39">
        <v>0.21870979559487133</v>
      </c>
      <c r="I39">
        <v>5.6142088660642102</v>
      </c>
      <c r="J39">
        <v>-0.31313573507068698</v>
      </c>
      <c r="K39">
        <v>-0.1357356965984623</v>
      </c>
      <c r="L39">
        <v>-8.6260024301336298</v>
      </c>
      <c r="M39" s="10">
        <v>109.45176894622</v>
      </c>
      <c r="N39">
        <f t="shared" si="1"/>
        <v>0</v>
      </c>
      <c r="R39" s="30"/>
    </row>
    <row r="40" spans="1:18" x14ac:dyDescent="0.2">
      <c r="A40">
        <v>4</v>
      </c>
      <c r="B40" s="6">
        <f t="shared" si="4"/>
        <v>1931</v>
      </c>
      <c r="C40" t="s">
        <v>1</v>
      </c>
      <c r="D40">
        <v>0.49759548294295702</v>
      </c>
      <c r="E40">
        <v>6.0499175425210003</v>
      </c>
      <c r="F40">
        <v>-0.88255219560264198</v>
      </c>
      <c r="G40">
        <v>1.0671936758893199</v>
      </c>
      <c r="H40">
        <v>0.26799246369390883</v>
      </c>
      <c r="I40">
        <v>-2.77167370201611</v>
      </c>
      <c r="J40">
        <v>-1.1047562640022599</v>
      </c>
      <c r="K40">
        <v>-0.17918268868280196</v>
      </c>
      <c r="L40">
        <v>2.69258809234509</v>
      </c>
      <c r="M40" s="10">
        <v>106.705871194157</v>
      </c>
      <c r="N40">
        <f t="shared" si="1"/>
        <v>-2.5087742103210964E-2</v>
      </c>
      <c r="R40" s="30"/>
    </row>
    <row r="41" spans="1:18" x14ac:dyDescent="0.2">
      <c r="A41">
        <v>4</v>
      </c>
      <c r="B41" s="6">
        <f t="shared" si="4"/>
        <v>1932</v>
      </c>
      <c r="C41" t="s">
        <v>1</v>
      </c>
      <c r="D41">
        <v>-1.04911011399986</v>
      </c>
      <c r="E41">
        <v>-11.945011937873799</v>
      </c>
      <c r="F41">
        <v>9.3426536100675701</v>
      </c>
      <c r="G41">
        <v>0.56916996047430801</v>
      </c>
      <c r="H41">
        <v>0.31259001590483293</v>
      </c>
      <c r="I41">
        <v>-5.0154676094542898</v>
      </c>
      <c r="J41">
        <v>-1.79478793809388</v>
      </c>
      <c r="K41">
        <v>-0.2454875304275933</v>
      </c>
      <c r="L41">
        <v>8.7893074119076502</v>
      </c>
      <c r="M41" s="10">
        <v>106.705871194157</v>
      </c>
      <c r="N41">
        <f t="shared" si="1"/>
        <v>0</v>
      </c>
      <c r="R41" s="30"/>
    </row>
    <row r="42" spans="1:18" x14ac:dyDescent="0.2">
      <c r="A42">
        <v>4</v>
      </c>
      <c r="B42" s="6">
        <f t="shared" si="4"/>
        <v>1933</v>
      </c>
      <c r="C42" t="s">
        <v>1</v>
      </c>
      <c r="D42">
        <v>-1.83373408617617</v>
      </c>
      <c r="E42">
        <v>-11.1610505328968</v>
      </c>
      <c r="F42">
        <v>1.0012112253905601</v>
      </c>
      <c r="G42">
        <v>1.35177865612648</v>
      </c>
      <c r="H42">
        <v>0.33833377008225696</v>
      </c>
      <c r="I42">
        <v>-3.4821170052269799</v>
      </c>
      <c r="J42">
        <v>-2.9668065820307401</v>
      </c>
      <c r="K42">
        <v>0.21420745069393687</v>
      </c>
      <c r="L42">
        <v>4.5044957472661302</v>
      </c>
      <c r="M42" s="10">
        <v>104.99857725504999</v>
      </c>
      <c r="N42">
        <f t="shared" si="1"/>
        <v>-1.6000000000004566E-2</v>
      </c>
      <c r="R42" s="30"/>
    </row>
    <row r="43" spans="1:18" x14ac:dyDescent="0.2">
      <c r="A43">
        <v>4</v>
      </c>
      <c r="B43" s="6">
        <f t="shared" si="4"/>
        <v>1934</v>
      </c>
      <c r="C43" t="s">
        <v>1</v>
      </c>
      <c r="D43">
        <v>-1.5740462440155401</v>
      </c>
      <c r="E43">
        <v>0.64316833632807402</v>
      </c>
      <c r="F43">
        <v>0.55285253844101501</v>
      </c>
      <c r="G43">
        <v>2.8814229249011798</v>
      </c>
      <c r="H43">
        <v>0.35698279130068905</v>
      </c>
      <c r="I43">
        <v>-0.25494887307416197</v>
      </c>
      <c r="J43">
        <v>-2.5665542193495199</v>
      </c>
      <c r="K43">
        <v>0</v>
      </c>
      <c r="L43">
        <v>30.7829890643985</v>
      </c>
      <c r="M43" s="10">
        <v>104.99857725504999</v>
      </c>
      <c r="N43">
        <f t="shared" si="1"/>
        <v>0</v>
      </c>
      <c r="R43" s="30"/>
    </row>
    <row r="44" spans="1:18" x14ac:dyDescent="0.2">
      <c r="A44">
        <v>4</v>
      </c>
      <c r="B44" s="6">
        <f t="shared" si="4"/>
        <v>1935</v>
      </c>
      <c r="C44" t="s">
        <v>1</v>
      </c>
      <c r="D44">
        <v>-1.70682067025912</v>
      </c>
      <c r="E44">
        <v>-11.5659536761266</v>
      </c>
      <c r="F44">
        <v>0.55285253844101501</v>
      </c>
      <c r="G44">
        <v>3.4861660079051302</v>
      </c>
      <c r="H44">
        <v>0.40723285602231246</v>
      </c>
      <c r="I44">
        <v>-3.4953749561878</v>
      </c>
      <c r="J44">
        <v>-2.3361058893209301</v>
      </c>
      <c r="K44">
        <v>-8.2969870155913283E-2</v>
      </c>
      <c r="L44">
        <v>17.147023086269702</v>
      </c>
      <c r="M44" s="10">
        <v>104.799392962155</v>
      </c>
      <c r="N44">
        <f t="shared" si="1"/>
        <v>-1.8970189701824625E-3</v>
      </c>
      <c r="R44" s="30"/>
    </row>
    <row r="45" spans="1:18" x14ac:dyDescent="0.2">
      <c r="A45">
        <v>4</v>
      </c>
      <c r="B45" s="6">
        <f t="shared" si="4"/>
        <v>1936</v>
      </c>
      <c r="C45" t="s">
        <v>1</v>
      </c>
      <c r="D45">
        <v>-1.48688250069773</v>
      </c>
      <c r="E45">
        <v>-1.2590149408028899</v>
      </c>
      <c r="F45">
        <v>9.7088953213853397</v>
      </c>
      <c r="G45">
        <v>5.7272727272727204</v>
      </c>
      <c r="H45">
        <v>0.34579012857511571</v>
      </c>
      <c r="I45">
        <v>-1.8289876716294999</v>
      </c>
      <c r="J45">
        <v>-4.8154919784717899E-2</v>
      </c>
      <c r="K45">
        <v>-0.17149573584080458</v>
      </c>
      <c r="L45">
        <v>24.274119076549201</v>
      </c>
      <c r="M45" s="10">
        <v>104.799392962155</v>
      </c>
      <c r="N45">
        <f t="shared" si="1"/>
        <v>0</v>
      </c>
      <c r="R45" s="30"/>
    </row>
    <row r="46" spans="1:18" x14ac:dyDescent="0.2">
      <c r="A46">
        <v>4</v>
      </c>
      <c r="B46" s="6">
        <f t="shared" si="4"/>
        <v>1937</v>
      </c>
      <c r="C46" t="s">
        <v>1</v>
      </c>
      <c r="D46">
        <v>-0.12509929367311301</v>
      </c>
      <c r="E46">
        <v>26.238215964752499</v>
      </c>
      <c r="F46">
        <v>-10.6002750918683</v>
      </c>
      <c r="G46">
        <v>2.09881422924901</v>
      </c>
      <c r="H46">
        <v>0.2580114395405172</v>
      </c>
      <c r="I46">
        <v>0.79837247222688001</v>
      </c>
      <c r="J46">
        <v>-1.1481729456905101</v>
      </c>
      <c r="K46">
        <v>0.16502804354998402</v>
      </c>
      <c r="L46">
        <v>6.4933171324423098</v>
      </c>
      <c r="M46" s="10">
        <v>104.770938063169</v>
      </c>
      <c r="N46">
        <f t="shared" si="1"/>
        <v>-2.715177844233585E-4</v>
      </c>
      <c r="R46" s="30"/>
    </row>
    <row r="47" spans="1:18" ht="16" thickBot="1" x14ac:dyDescent="0.25">
      <c r="A47">
        <v>4</v>
      </c>
      <c r="B47" s="6">
        <f t="shared" si="4"/>
        <v>1938</v>
      </c>
      <c r="C47" t="s">
        <v>1</v>
      </c>
      <c r="D47">
        <v>0.498572317997382</v>
      </c>
      <c r="E47">
        <v>17.640485391488401</v>
      </c>
      <c r="F47">
        <v>-20.695736076040301</v>
      </c>
      <c r="G47">
        <v>2.7747035573122498</v>
      </c>
      <c r="H47">
        <v>0.24855842933529512</v>
      </c>
      <c r="I47">
        <v>-0.23391901982596799</v>
      </c>
      <c r="J47">
        <v>-0.916643061313829</v>
      </c>
      <c r="K47">
        <v>-0.44585410058903541</v>
      </c>
      <c r="L47">
        <v>-8.6376670716889201</v>
      </c>
      <c r="M47" s="10">
        <v>204.434221758512</v>
      </c>
      <c r="N47">
        <f t="shared" si="1"/>
        <v>0.95124932102119319</v>
      </c>
      <c r="R47" s="30"/>
    </row>
    <row r="48" spans="1:18" x14ac:dyDescent="0.2">
      <c r="A48" s="26">
        <v>5</v>
      </c>
      <c r="B48" s="4">
        <v>1941</v>
      </c>
      <c r="C48" s="5" t="s">
        <v>16</v>
      </c>
      <c r="D48" s="5">
        <v>-0.134366265319286</v>
      </c>
      <c r="E48" s="5">
        <v>13.945967213114701</v>
      </c>
      <c r="F48" s="5">
        <v>-13.201350445597299</v>
      </c>
      <c r="G48" s="5">
        <v>0.95958777708632903</v>
      </c>
      <c r="H48" s="5">
        <v>11.8919590189382</v>
      </c>
      <c r="I48" s="5">
        <v>11.3529777962232</v>
      </c>
      <c r="J48" s="5">
        <v>-2.0925043256831302</v>
      </c>
      <c r="K48" s="5">
        <v>0.2</v>
      </c>
      <c r="L48" s="5">
        <v>10.287413280475601</v>
      </c>
      <c r="M48" s="9">
        <v>120.111485990905</v>
      </c>
      <c r="N48">
        <v>0</v>
      </c>
    </row>
    <row r="49" spans="1:14" x14ac:dyDescent="0.2">
      <c r="A49" s="27">
        <v>5</v>
      </c>
      <c r="B49" s="6">
        <f>B48+1</f>
        <v>1942</v>
      </c>
      <c r="C49" t="s">
        <v>16</v>
      </c>
      <c r="D49">
        <v>0.60757095248333703</v>
      </c>
      <c r="E49">
        <v>7.4575737704918001</v>
      </c>
      <c r="F49">
        <v>-8.4507112181317297</v>
      </c>
      <c r="G49">
        <v>0.952753159803438</v>
      </c>
      <c r="H49">
        <v>12.441477801924799</v>
      </c>
      <c r="I49">
        <v>2.6063498651172399</v>
      </c>
      <c r="J49">
        <v>-1.5402125297900799</v>
      </c>
      <c r="K49">
        <v>0.26539798302091278</v>
      </c>
      <c r="L49">
        <v>12.3785926660059</v>
      </c>
      <c r="M49" s="10">
        <v>105.31025377732099</v>
      </c>
      <c r="N49">
        <f t="shared" si="1"/>
        <v>-0.12322911577919171</v>
      </c>
    </row>
    <row r="50" spans="1:14" x14ac:dyDescent="0.2">
      <c r="A50" s="27">
        <v>5</v>
      </c>
      <c r="B50" s="6">
        <f t="shared" ref="B50:B59" si="5">B49+1</f>
        <v>1943</v>
      </c>
      <c r="C50" t="s">
        <v>16</v>
      </c>
      <c r="D50">
        <v>1.0967399483981899</v>
      </c>
      <c r="E50">
        <v>5.5687868852458902</v>
      </c>
      <c r="F50">
        <v>7.6533525308442796</v>
      </c>
      <c r="G50">
        <v>0.952753159803438</v>
      </c>
      <c r="H50">
        <v>13.7926109903756</v>
      </c>
      <c r="I50">
        <v>2.5188490004841899</v>
      </c>
      <c r="J50">
        <v>-1.4436600176291901</v>
      </c>
      <c r="K50">
        <v>0.24613895267684249</v>
      </c>
      <c r="L50">
        <v>9.8529897588371096</v>
      </c>
      <c r="M50" s="10">
        <v>104.95819275341</v>
      </c>
      <c r="N50">
        <f t="shared" si="1"/>
        <v>-3.3430839949870617E-3</v>
      </c>
    </row>
    <row r="51" spans="1:14" x14ac:dyDescent="0.2">
      <c r="A51" s="27">
        <v>5</v>
      </c>
      <c r="B51" s="6">
        <f t="shared" si="5"/>
        <v>1944</v>
      </c>
      <c r="C51" t="s">
        <v>16</v>
      </c>
      <c r="D51">
        <v>1.1591861965168699</v>
      </c>
      <c r="E51">
        <v>4.4414426229508104</v>
      </c>
      <c r="F51">
        <v>21.210436164138699</v>
      </c>
      <c r="G51">
        <v>0.95692152528915697</v>
      </c>
      <c r="H51">
        <v>14.5625582117354</v>
      </c>
      <c r="I51">
        <v>-0.171543197067165</v>
      </c>
      <c r="J51">
        <v>-1.61836864614279</v>
      </c>
      <c r="K51">
        <v>0.10865205687340151</v>
      </c>
      <c r="L51">
        <v>9.9768747935249191</v>
      </c>
      <c r="M51" s="10">
        <v>106.366436849053</v>
      </c>
      <c r="N51">
        <f t="shared" si="1"/>
        <v>1.3417190775679044E-2</v>
      </c>
    </row>
    <row r="52" spans="1:14" x14ac:dyDescent="0.2">
      <c r="A52" s="27">
        <v>5</v>
      </c>
      <c r="B52" s="6">
        <f t="shared" si="5"/>
        <v>1945</v>
      </c>
      <c r="C52" t="s">
        <v>16</v>
      </c>
      <c r="D52">
        <v>0.51174478606751195</v>
      </c>
      <c r="E52">
        <v>4.0220327868852399</v>
      </c>
      <c r="F52">
        <v>26.4168507807263</v>
      </c>
      <c r="G52">
        <v>0.95087551769275402</v>
      </c>
      <c r="H52">
        <v>16.0376694608299</v>
      </c>
      <c r="I52">
        <v>-7.1664245694127402</v>
      </c>
      <c r="J52">
        <v>-1.61836864614279</v>
      </c>
      <c r="K52">
        <v>4.9751487003989903E-2</v>
      </c>
      <c r="L52">
        <v>6.8913115295671998</v>
      </c>
      <c r="M52" s="10">
        <v>109.417632389614</v>
      </c>
      <c r="N52">
        <f t="shared" si="1"/>
        <v>2.8685698524347547E-2</v>
      </c>
    </row>
    <row r="53" spans="1:14" x14ac:dyDescent="0.2">
      <c r="A53" s="27">
        <v>5</v>
      </c>
      <c r="B53" s="6">
        <f t="shared" si="5"/>
        <v>1946</v>
      </c>
      <c r="C53" t="s">
        <v>16</v>
      </c>
      <c r="D53">
        <v>2.3623951838314498E-2</v>
      </c>
      <c r="E53">
        <v>3.94649180327868</v>
      </c>
      <c r="F53">
        <v>31.504108432837601</v>
      </c>
      <c r="G53">
        <v>0.46527971502757398</v>
      </c>
      <c r="H53">
        <v>16.557797785366802</v>
      </c>
      <c r="I53">
        <v>-4.3193608632496199</v>
      </c>
      <c r="J53">
        <v>-2.0090349645783601</v>
      </c>
      <c r="K53">
        <v>4.6896830078549945E-2</v>
      </c>
      <c r="L53">
        <v>3.6389164188965801</v>
      </c>
      <c r="M53" s="10">
        <v>109.16825583101</v>
      </c>
      <c r="N53">
        <f t="shared" si="1"/>
        <v>-2.2791258881934562E-3</v>
      </c>
    </row>
    <row r="54" spans="1:14" x14ac:dyDescent="0.2">
      <c r="A54" s="27">
        <v>5</v>
      </c>
      <c r="B54" s="6">
        <f t="shared" si="5"/>
        <v>1947</v>
      </c>
      <c r="C54" t="s">
        <v>16</v>
      </c>
      <c r="D54">
        <v>-0.158232100623521</v>
      </c>
      <c r="E54">
        <v>3.9887213114754001</v>
      </c>
      <c r="F54">
        <v>28.569123451580001</v>
      </c>
      <c r="G54">
        <v>0.458182227849187</v>
      </c>
      <c r="H54">
        <v>17.105453792817901</v>
      </c>
      <c r="I54">
        <v>-2.1397938714809399</v>
      </c>
      <c r="J54">
        <v>-1.5224445822859101</v>
      </c>
      <c r="K54">
        <v>1.1536351369388909E-2</v>
      </c>
      <c r="L54">
        <v>-4.1328047571853501</v>
      </c>
      <c r="M54" s="10">
        <v>109.16825583101</v>
      </c>
      <c r="N54">
        <f t="shared" si="1"/>
        <v>0</v>
      </c>
    </row>
    <row r="55" spans="1:14" x14ac:dyDescent="0.2">
      <c r="A55" s="27">
        <v>5</v>
      </c>
      <c r="B55" s="6">
        <f t="shared" si="5"/>
        <v>1948</v>
      </c>
      <c r="C55" t="s">
        <v>16</v>
      </c>
      <c r="D55">
        <v>-3.3863685228982997E-2</v>
      </c>
      <c r="E55">
        <v>7.5567213114754104</v>
      </c>
      <c r="F55">
        <v>15.9466772583968</v>
      </c>
      <c r="G55">
        <v>0.44898178150683399</v>
      </c>
      <c r="H55">
        <v>15.7315533478215</v>
      </c>
      <c r="I55">
        <v>0.35622881649027899</v>
      </c>
      <c r="J55">
        <v>-2.1785446116679101</v>
      </c>
      <c r="K55">
        <v>2.4993769881408889E-2</v>
      </c>
      <c r="L55">
        <v>-1.33961017509085</v>
      </c>
      <c r="M55" s="10">
        <v>111.207275927827</v>
      </c>
      <c r="N55">
        <f t="shared" si="1"/>
        <v>1.8677774791724833E-2</v>
      </c>
    </row>
    <row r="56" spans="1:14" x14ac:dyDescent="0.2">
      <c r="A56" s="27">
        <v>5</v>
      </c>
      <c r="B56" s="6">
        <f t="shared" si="5"/>
        <v>1949</v>
      </c>
      <c r="C56" t="s">
        <v>16</v>
      </c>
      <c r="D56">
        <v>-0.19661094388303599</v>
      </c>
      <c r="E56">
        <v>3.6915409836065498</v>
      </c>
      <c r="F56">
        <v>-4.3688404537894296</v>
      </c>
      <c r="G56">
        <v>0.44898178150683399</v>
      </c>
      <c r="H56">
        <v>14.2262237400393</v>
      </c>
      <c r="I56">
        <v>2.5316455696202498</v>
      </c>
      <c r="J56">
        <v>-1.70937938689562</v>
      </c>
      <c r="K56">
        <v>-0.11143845999828317</v>
      </c>
      <c r="L56">
        <v>2.06640237859264</v>
      </c>
      <c r="M56" s="10">
        <v>121.182338271967</v>
      </c>
      <c r="N56">
        <f t="shared" si="1"/>
        <v>8.9697929033112578E-2</v>
      </c>
    </row>
    <row r="57" spans="1:14" x14ac:dyDescent="0.2">
      <c r="A57" s="27">
        <v>5</v>
      </c>
      <c r="B57" s="6">
        <f t="shared" si="5"/>
        <v>1950</v>
      </c>
      <c r="C57" t="s">
        <v>16</v>
      </c>
      <c r="D57">
        <v>-0.285583745431091</v>
      </c>
      <c r="E57">
        <v>3.2375081967213002</v>
      </c>
      <c r="F57">
        <v>-8.8424397388476397</v>
      </c>
      <c r="G57">
        <v>0.437415506105018</v>
      </c>
      <c r="H57">
        <v>13.7205836696678</v>
      </c>
      <c r="I57">
        <v>3.4287888220239302</v>
      </c>
      <c r="J57">
        <v>-2.1965982174920802</v>
      </c>
      <c r="K57">
        <v>-0.28989216159665021</v>
      </c>
      <c r="L57">
        <v>-20.459200528576101</v>
      </c>
      <c r="M57" s="10">
        <v>119.99413231626799</v>
      </c>
      <c r="N57">
        <f t="shared" si="1"/>
        <v>-9.8051083403947192E-3</v>
      </c>
    </row>
    <row r="58" spans="1:14" x14ac:dyDescent="0.2">
      <c r="A58" s="27">
        <v>5</v>
      </c>
      <c r="B58" s="6">
        <f t="shared" si="5"/>
        <v>1951</v>
      </c>
      <c r="C58" t="s">
        <v>16</v>
      </c>
      <c r="D58">
        <v>-1.89475381638359E-3</v>
      </c>
      <c r="E58">
        <v>7.2060327868852401</v>
      </c>
      <c r="F58">
        <v>-11.792319340664699</v>
      </c>
      <c r="G58">
        <v>0.47906160811999698</v>
      </c>
      <c r="H58">
        <v>12.8779882024216</v>
      </c>
      <c r="I58">
        <v>3.74593622466625</v>
      </c>
      <c r="J58">
        <v>-1.9145391923215</v>
      </c>
      <c r="K58">
        <v>0.18159976427389601</v>
      </c>
      <c r="L58">
        <v>-16.841757515692102</v>
      </c>
      <c r="M58" s="10">
        <v>159.718351180871</v>
      </c>
      <c r="N58">
        <f t="shared" si="1"/>
        <v>0.33105134474327502</v>
      </c>
    </row>
    <row r="59" spans="1:14" x14ac:dyDescent="0.2">
      <c r="A59" s="27">
        <v>5</v>
      </c>
      <c r="B59" s="6">
        <f t="shared" si="5"/>
        <v>1952</v>
      </c>
      <c r="C59" t="s">
        <v>16</v>
      </c>
      <c r="D59">
        <v>-0.45961889916146997</v>
      </c>
      <c r="E59">
        <v>10.317377049180299</v>
      </c>
      <c r="F59">
        <v>-13.2184792592408</v>
      </c>
      <c r="G59">
        <v>2.4187785669835402</v>
      </c>
      <c r="H59">
        <v>12.303839387353801</v>
      </c>
      <c r="I59">
        <v>1.1471951303866701</v>
      </c>
      <c r="J59">
        <v>-1.532328360158</v>
      </c>
      <c r="K59">
        <v>-0.21296349580863705</v>
      </c>
      <c r="L59">
        <v>-15.1139742319127</v>
      </c>
      <c r="M59" s="10">
        <v>164.57385946897401</v>
      </c>
      <c r="N59">
        <f t="shared" si="1"/>
        <v>3.040044085231286E-2</v>
      </c>
    </row>
    <row r="60" spans="1:14" ht="16" thickBot="1" x14ac:dyDescent="0.25">
      <c r="A60" s="28">
        <v>5</v>
      </c>
      <c r="B60" s="7">
        <v>1953</v>
      </c>
      <c r="C60" s="8" t="s">
        <v>16</v>
      </c>
      <c r="D60" s="8">
        <v>-0.786725972909051</v>
      </c>
      <c r="E60" s="8">
        <v>5.5887213114754104</v>
      </c>
      <c r="F60" s="8">
        <v>-14.607402626418001</v>
      </c>
      <c r="G60" s="8">
        <v>2.4266271110062001</v>
      </c>
      <c r="H60" s="8">
        <v>11.938942357445899</v>
      </c>
      <c r="I60" s="8">
        <v>3.50591409006018</v>
      </c>
      <c r="J60" s="8">
        <v>-1.1422904900264399</v>
      </c>
      <c r="K60" s="8">
        <v>0.15381803114870074</v>
      </c>
      <c r="L60" s="8">
        <v>-10.181698050875401</v>
      </c>
      <c r="M60" s="11">
        <v>154.10004400762699</v>
      </c>
      <c r="N60">
        <f t="shared" si="1"/>
        <v>-6.3642035832073174E-2</v>
      </c>
    </row>
    <row r="61" spans="1:14" x14ac:dyDescent="0.2">
      <c r="A61">
        <v>6</v>
      </c>
      <c r="B61" s="6">
        <v>1943</v>
      </c>
      <c r="C61" t="s">
        <v>29</v>
      </c>
      <c r="D61">
        <v>0.47611383028373699</v>
      </c>
      <c r="E61">
        <v>5.20765690527403</v>
      </c>
      <c r="F61">
        <v>-1.09067967439641</v>
      </c>
      <c r="G61">
        <v>0.27005676983451399</v>
      </c>
      <c r="H61">
        <v>13.946883495503901</v>
      </c>
      <c r="I61">
        <v>12.0499229863187</v>
      </c>
      <c r="J61">
        <v>-1.6826902162091599</v>
      </c>
      <c r="K61">
        <v>0.1</v>
      </c>
      <c r="L61">
        <v>-11.0212998361551</v>
      </c>
      <c r="M61" s="10">
        <v>101.30878904670701</v>
      </c>
      <c r="N61">
        <v>0</v>
      </c>
    </row>
    <row r="62" spans="1:14" x14ac:dyDescent="0.2">
      <c r="A62">
        <v>6</v>
      </c>
      <c r="B62" s="6">
        <f>B61+1</f>
        <v>1944</v>
      </c>
      <c r="C62" t="s">
        <v>29</v>
      </c>
      <c r="D62">
        <v>0.67344997187750499</v>
      </c>
      <c r="E62">
        <v>3.4597868275273602</v>
      </c>
      <c r="F62">
        <v>12.544970532568</v>
      </c>
      <c r="G62">
        <v>0.26721192801533999</v>
      </c>
      <c r="H62">
        <v>16.2667142312376</v>
      </c>
      <c r="I62">
        <v>2.9423756455558499</v>
      </c>
      <c r="J62">
        <v>-1.66937834428155</v>
      </c>
      <c r="K62">
        <v>0.14119720608394859</v>
      </c>
      <c r="L62">
        <v>-17.344620425996698</v>
      </c>
      <c r="M62" s="10">
        <v>104.336846077136</v>
      </c>
      <c r="N62">
        <f t="shared" si="1"/>
        <v>2.9889381354987421E-2</v>
      </c>
    </row>
    <row r="63" spans="1:14" x14ac:dyDescent="0.2">
      <c r="A63">
        <v>6</v>
      </c>
      <c r="B63" s="6">
        <f t="shared" ref="B63:B69" si="6">B62+1</f>
        <v>1945</v>
      </c>
      <c r="C63" t="s">
        <v>29</v>
      </c>
      <c r="D63">
        <v>0.342083218649401</v>
      </c>
      <c r="E63">
        <v>3.6124442735433</v>
      </c>
      <c r="F63">
        <v>30.313139550987099</v>
      </c>
      <c r="G63">
        <v>0.26721192801533999</v>
      </c>
      <c r="H63">
        <v>16.699592830871001</v>
      </c>
      <c r="I63">
        <v>-6.8881942556854199</v>
      </c>
      <c r="J63">
        <v>-1.2344368556140399</v>
      </c>
      <c r="K63">
        <v>0.33966365404415755</v>
      </c>
      <c r="L63">
        <v>-27.5084653194975</v>
      </c>
      <c r="M63" s="10">
        <v>104.993396760369</v>
      </c>
      <c r="N63">
        <f t="shared" si="1"/>
        <v>6.2926061877277562E-3</v>
      </c>
    </row>
    <row r="64" spans="1:14" x14ac:dyDescent="0.2">
      <c r="A64">
        <v>6</v>
      </c>
      <c r="B64" s="6">
        <f t="shared" si="6"/>
        <v>1946</v>
      </c>
      <c r="C64" t="s">
        <v>29</v>
      </c>
      <c r="D64">
        <v>3.0821057166448E-2</v>
      </c>
      <c r="E64">
        <v>13.7464761652987</v>
      </c>
      <c r="F64">
        <v>15.979503593026299</v>
      </c>
      <c r="G64">
        <v>0.29454272977812501</v>
      </c>
      <c r="H64">
        <v>12.9870222528385</v>
      </c>
      <c r="I64">
        <v>-4.63350548156202</v>
      </c>
      <c r="J64">
        <v>-1.4197154913646799</v>
      </c>
      <c r="K64">
        <v>-0.19602903501281155</v>
      </c>
      <c r="L64">
        <v>-17.853631895139198</v>
      </c>
      <c r="M64" s="10">
        <v>109.75338921381</v>
      </c>
      <c r="N64">
        <f t="shared" si="1"/>
        <v>4.5336112558630237E-2</v>
      </c>
    </row>
    <row r="65" spans="1:14" x14ac:dyDescent="0.2">
      <c r="A65">
        <v>6</v>
      </c>
      <c r="B65" s="6">
        <f t="shared" si="6"/>
        <v>1947</v>
      </c>
      <c r="C65" t="s">
        <v>29</v>
      </c>
      <c r="D65">
        <v>0.16084271747064999</v>
      </c>
      <c r="E65">
        <v>10.6512214758648</v>
      </c>
      <c r="F65">
        <v>2.8738055303368499</v>
      </c>
      <c r="G65">
        <v>0.69454780985280296</v>
      </c>
      <c r="H65">
        <v>12.5218161465316</v>
      </c>
      <c r="I65">
        <v>-0.14632599438253599</v>
      </c>
      <c r="J65">
        <v>-1.1709226954365499</v>
      </c>
      <c r="K65">
        <v>2.0925168622872858E-2</v>
      </c>
      <c r="L65">
        <v>-12.054614964500299</v>
      </c>
      <c r="M65" s="10">
        <v>109.40058755356699</v>
      </c>
      <c r="N65">
        <f t="shared" si="1"/>
        <v>-3.214494447690508E-3</v>
      </c>
    </row>
    <row r="66" spans="1:14" x14ac:dyDescent="0.2">
      <c r="A66">
        <v>6</v>
      </c>
      <c r="B66" s="6">
        <f t="shared" si="6"/>
        <v>1948</v>
      </c>
      <c r="C66" t="s">
        <v>29</v>
      </c>
      <c r="D66">
        <v>4.8143317018297403E-2</v>
      </c>
      <c r="E66">
        <v>4.9415638255686698</v>
      </c>
      <c r="F66">
        <v>-8.8950097711850002</v>
      </c>
      <c r="G66">
        <v>0.97039586481921103</v>
      </c>
      <c r="H66">
        <v>11.321269974044499</v>
      </c>
      <c r="I66">
        <v>-0.81861012956420598</v>
      </c>
      <c r="J66">
        <v>-0.98425196850393604</v>
      </c>
      <c r="K66">
        <v>-4.9419965666213095E-3</v>
      </c>
      <c r="L66">
        <v>-1.3096668487165699</v>
      </c>
      <c r="M66" s="10">
        <v>120.739293318599</v>
      </c>
      <c r="N66">
        <f t="shared" si="1"/>
        <v>0.10364392018900359</v>
      </c>
    </row>
    <row r="67" spans="1:14" x14ac:dyDescent="0.2">
      <c r="A67">
        <v>6</v>
      </c>
      <c r="B67" s="6">
        <f t="shared" si="6"/>
        <v>1949</v>
      </c>
      <c r="C67" t="s">
        <v>29</v>
      </c>
      <c r="D67">
        <v>-9.5490827280016705E-2</v>
      </c>
      <c r="E67">
        <v>1.53138105480718</v>
      </c>
      <c r="F67">
        <v>-8.3041223629341196</v>
      </c>
      <c r="G67">
        <v>0.99914908749158404</v>
      </c>
      <c r="H67">
        <v>11.232037198774799</v>
      </c>
      <c r="I67">
        <v>0.60840808190631801</v>
      </c>
      <c r="J67">
        <v>-0.78496541523469698</v>
      </c>
      <c r="K67">
        <v>0</v>
      </c>
      <c r="L67">
        <v>13.026761332605099</v>
      </c>
      <c r="M67" s="10">
        <v>119.580896423469</v>
      </c>
      <c r="N67">
        <f t="shared" si="1"/>
        <v>-9.59419972811415E-3</v>
      </c>
    </row>
    <row r="68" spans="1:14" x14ac:dyDescent="0.2">
      <c r="A68">
        <v>6</v>
      </c>
      <c r="B68" s="6">
        <f t="shared" si="6"/>
        <v>1950</v>
      </c>
      <c r="C68" t="s">
        <v>29</v>
      </c>
      <c r="D68">
        <v>0.58567188827591199</v>
      </c>
      <c r="E68">
        <v>4.8521611651185301</v>
      </c>
      <c r="F68">
        <v>-6.5462323233877502</v>
      </c>
      <c r="G68">
        <v>1.2439070854341501</v>
      </c>
      <c r="H68">
        <v>10.2281131216709</v>
      </c>
      <c r="I68">
        <v>10.908308417142299</v>
      </c>
      <c r="J68">
        <v>-0.80893548527428505</v>
      </c>
      <c r="K68">
        <v>0.2306043496445056</v>
      </c>
      <c r="L68">
        <v>9.1938831239759509</v>
      </c>
      <c r="M68" s="10">
        <v>113.24744629814199</v>
      </c>
      <c r="N68">
        <f t="shared" ref="N68:N131" si="7">M68/M67-1</f>
        <v>-5.2963728444537672E-2</v>
      </c>
    </row>
    <row r="69" spans="1:14" ht="16" thickBot="1" x14ac:dyDescent="0.25">
      <c r="A69">
        <v>6</v>
      </c>
      <c r="B69" s="6">
        <f t="shared" si="6"/>
        <v>1951</v>
      </c>
      <c r="C69" t="s">
        <v>29</v>
      </c>
      <c r="D69">
        <v>0.681587544726732</v>
      </c>
      <c r="E69">
        <v>6.5906103173553996</v>
      </c>
      <c r="F69">
        <v>-6.8305968886084898</v>
      </c>
      <c r="G69">
        <v>1.5817320514611499</v>
      </c>
      <c r="H69">
        <v>10.1388803464012</v>
      </c>
      <c r="I69">
        <v>4.7087070761982401</v>
      </c>
      <c r="J69">
        <v>-0.88284682646713297</v>
      </c>
      <c r="K69">
        <v>0.21220102808105579</v>
      </c>
      <c r="L69">
        <v>5.3599126160567803</v>
      </c>
      <c r="M69" s="10">
        <v>114.54356790556</v>
      </c>
      <c r="N69">
        <f t="shared" si="7"/>
        <v>1.1445040482464863E-2</v>
      </c>
    </row>
    <row r="70" spans="1:14" x14ac:dyDescent="0.2">
      <c r="A70" s="26">
        <v>7</v>
      </c>
      <c r="B70" s="4">
        <v>1984</v>
      </c>
      <c r="C70" s="5" t="s">
        <v>4</v>
      </c>
      <c r="D70" s="5">
        <v>-0.86622917718324099</v>
      </c>
      <c r="E70" s="5">
        <v>7.2458600952505696</v>
      </c>
      <c r="F70" s="5">
        <v>4.0514791910412802</v>
      </c>
      <c r="G70" s="5">
        <v>7.9501856435643496</v>
      </c>
      <c r="H70" s="5">
        <v>5.3721014243445904</v>
      </c>
      <c r="I70" s="5">
        <v>10.283261802575099</v>
      </c>
      <c r="J70" s="5">
        <v>-4.1709287651760096</v>
      </c>
      <c r="K70" s="5">
        <v>0.1</v>
      </c>
      <c r="L70" s="5">
        <v>-9.8291433146517093</v>
      </c>
      <c r="M70" s="9">
        <v>128.35086377255001</v>
      </c>
      <c r="N70">
        <v>0</v>
      </c>
    </row>
    <row r="71" spans="1:14" x14ac:dyDescent="0.2">
      <c r="A71" s="27">
        <v>7</v>
      </c>
      <c r="B71" s="6">
        <f>B70+1</f>
        <v>1985</v>
      </c>
      <c r="C71" t="s">
        <v>4</v>
      </c>
      <c r="D71">
        <v>0.61534578495709003</v>
      </c>
      <c r="E71">
        <v>6.0995324856905597</v>
      </c>
      <c r="F71">
        <v>4.4902222965067704</v>
      </c>
      <c r="G71">
        <v>10.084622524752399</v>
      </c>
      <c r="H71">
        <v>5.3721014243445904</v>
      </c>
      <c r="I71">
        <v>5.3390557939914096</v>
      </c>
      <c r="J71">
        <v>-4.2791662435995903</v>
      </c>
      <c r="K71">
        <v>0.33333333333333326</v>
      </c>
      <c r="L71">
        <v>-8.1088871096877408</v>
      </c>
      <c r="M71" s="10">
        <v>120.226939504047</v>
      </c>
      <c r="N71">
        <f t="shared" si="7"/>
        <v>-6.3294659885572591E-2</v>
      </c>
    </row>
    <row r="72" spans="1:14" x14ac:dyDescent="0.2">
      <c r="A72" s="27">
        <v>7</v>
      </c>
      <c r="B72" s="6">
        <f t="shared" ref="B72:B82" si="8">B71+1</f>
        <v>1986</v>
      </c>
      <c r="C72" t="s">
        <v>4</v>
      </c>
      <c r="D72">
        <v>1.56042402826855</v>
      </c>
      <c r="E72">
        <v>9.4082230086948897</v>
      </c>
      <c r="F72">
        <v>12.571452448604299</v>
      </c>
      <c r="G72">
        <v>15.1178836633663</v>
      </c>
      <c r="H72">
        <v>5.5896924241381702</v>
      </c>
      <c r="I72">
        <v>5.4763948497854003</v>
      </c>
      <c r="J72">
        <v>0.42946867611436002</v>
      </c>
      <c r="K72">
        <v>0</v>
      </c>
      <c r="L72">
        <v>-0.67926341072857999</v>
      </c>
      <c r="M72" s="10">
        <v>111.230955568304</v>
      </c>
      <c r="N72">
        <f t="shared" si="7"/>
        <v>-7.4825026511135428E-2</v>
      </c>
    </row>
    <row r="73" spans="1:14" x14ac:dyDescent="0.2">
      <c r="A73" s="27">
        <v>7</v>
      </c>
      <c r="B73" s="6">
        <f t="shared" si="8"/>
        <v>1987</v>
      </c>
      <c r="C73" t="s">
        <v>4</v>
      </c>
      <c r="D73">
        <v>2.3843008581524399</v>
      </c>
      <c r="E73">
        <v>10.768645956219601</v>
      </c>
      <c r="F73">
        <v>11.6856092261407</v>
      </c>
      <c r="G73">
        <v>13.8787128712871</v>
      </c>
      <c r="H73">
        <v>5.5615151723663399</v>
      </c>
      <c r="I73">
        <v>1.21888412017167</v>
      </c>
      <c r="J73">
        <v>1.8960560479250299</v>
      </c>
      <c r="K73">
        <v>0.55000000000000004</v>
      </c>
      <c r="L73">
        <v>6.13114491593275</v>
      </c>
      <c r="M73" s="10">
        <v>128.88633900682001</v>
      </c>
      <c r="N73">
        <f t="shared" si="7"/>
        <v>0.15872724771904267</v>
      </c>
    </row>
    <row r="74" spans="1:14" x14ac:dyDescent="0.2">
      <c r="A74" s="27">
        <v>7</v>
      </c>
      <c r="B74" s="6">
        <f t="shared" si="8"/>
        <v>1988</v>
      </c>
      <c r="C74" t="s">
        <v>4</v>
      </c>
      <c r="D74">
        <v>1.42958101968702</v>
      </c>
      <c r="E74">
        <v>7.9456459999126103</v>
      </c>
      <c r="F74">
        <v>11.096439913087</v>
      </c>
      <c r="G74">
        <v>12.695235148514801</v>
      </c>
      <c r="H74">
        <v>5.3235739351819999</v>
      </c>
      <c r="I74">
        <v>-0.15450643776824</v>
      </c>
      <c r="J74">
        <v>1.50229906731843</v>
      </c>
      <c r="K74">
        <v>-0.15053763440860213</v>
      </c>
      <c r="L74">
        <v>9.7796637309847796</v>
      </c>
      <c r="M74" s="10">
        <v>120.69611780455099</v>
      </c>
      <c r="N74">
        <f t="shared" si="7"/>
        <v>-6.3546076840894861E-2</v>
      </c>
    </row>
    <row r="75" spans="1:14" x14ac:dyDescent="0.2">
      <c r="A75" s="27">
        <v>7</v>
      </c>
      <c r="B75" s="6">
        <f t="shared" si="8"/>
        <v>1989</v>
      </c>
      <c r="C75" t="s">
        <v>4</v>
      </c>
      <c r="D75">
        <v>-0.35431600201918201</v>
      </c>
      <c r="E75">
        <v>5.43277843317167</v>
      </c>
      <c r="F75">
        <v>0.38692963396289298</v>
      </c>
      <c r="G75">
        <v>10.0943688118811</v>
      </c>
      <c r="H75">
        <v>4.7286004266152899</v>
      </c>
      <c r="I75">
        <v>-0.97854077253218397</v>
      </c>
      <c r="J75">
        <v>0.70320999115185501</v>
      </c>
      <c r="K75">
        <v>0.49367088607594733</v>
      </c>
      <c r="L75">
        <v>7.4051240992794201</v>
      </c>
      <c r="M75" s="10">
        <v>112.041818065914</v>
      </c>
      <c r="N75">
        <f t="shared" si="7"/>
        <v>-7.1703215447669333E-2</v>
      </c>
    </row>
    <row r="76" spans="1:14" x14ac:dyDescent="0.2">
      <c r="A76" s="27">
        <v>7</v>
      </c>
      <c r="B76" s="6">
        <f t="shared" si="8"/>
        <v>1990</v>
      </c>
      <c r="C76" t="s">
        <v>4</v>
      </c>
      <c r="D76">
        <v>-0.90474507824331196</v>
      </c>
      <c r="E76">
        <v>4.5103333770262504</v>
      </c>
      <c r="F76">
        <v>0.38692963396289298</v>
      </c>
      <c r="G76">
        <v>10.381188118811799</v>
      </c>
      <c r="H76">
        <v>4.17613362691805</v>
      </c>
      <c r="I76">
        <v>2.0429184549356201</v>
      </c>
      <c r="J76">
        <v>0.77103610333473604</v>
      </c>
      <c r="K76">
        <v>0.28813559322034066</v>
      </c>
      <c r="L76">
        <v>7.2206565252201704</v>
      </c>
      <c r="M76" s="10">
        <v>116.636705552368</v>
      </c>
      <c r="N76">
        <f t="shared" si="7"/>
        <v>4.1010468821122137E-2</v>
      </c>
    </row>
    <row r="77" spans="1:14" x14ac:dyDescent="0.2">
      <c r="A77" s="27">
        <v>7</v>
      </c>
      <c r="B77" s="6">
        <f t="shared" si="8"/>
        <v>1991</v>
      </c>
      <c r="C77" t="s">
        <v>4</v>
      </c>
      <c r="D77">
        <v>-1.2606764260474499</v>
      </c>
      <c r="E77">
        <v>3.9549089002490501</v>
      </c>
      <c r="F77">
        <v>-3.2316563596857999</v>
      </c>
      <c r="G77">
        <v>10.381188118811799</v>
      </c>
      <c r="H77">
        <v>4.1512075965045003</v>
      </c>
      <c r="I77">
        <v>1.15021459227467</v>
      </c>
      <c r="J77">
        <v>0.37301460669268099</v>
      </c>
      <c r="K77">
        <v>-0.15131578947368418</v>
      </c>
      <c r="L77">
        <v>4.5372297838270503</v>
      </c>
      <c r="M77" s="10">
        <v>92.346528973034907</v>
      </c>
      <c r="N77">
        <f t="shared" si="7"/>
        <v>-0.20825499540903269</v>
      </c>
    </row>
    <row r="78" spans="1:14" x14ac:dyDescent="0.2">
      <c r="A78" s="27">
        <v>7</v>
      </c>
      <c r="B78" s="6">
        <f t="shared" si="8"/>
        <v>1992</v>
      </c>
      <c r="C78" t="s">
        <v>4</v>
      </c>
      <c r="D78">
        <v>-1.5308934881373</v>
      </c>
      <c r="E78">
        <v>2.8575173679381298</v>
      </c>
      <c r="F78">
        <v>-1.4307203743941099</v>
      </c>
      <c r="G78">
        <v>10.673576732673199</v>
      </c>
      <c r="H78">
        <v>4.1512075965045003</v>
      </c>
      <c r="I78">
        <v>3.1416309012875501</v>
      </c>
      <c r="J78">
        <v>1.4373159658258501</v>
      </c>
      <c r="K78">
        <v>-0.13953488372093026</v>
      </c>
      <c r="L78">
        <v>9.6643714971977595</v>
      </c>
      <c r="M78" s="10">
        <v>93.738764582138003</v>
      </c>
      <c r="N78">
        <f t="shared" si="7"/>
        <v>1.507620941020571E-2</v>
      </c>
    </row>
    <row r="79" spans="1:14" x14ac:dyDescent="0.2">
      <c r="A79" s="27">
        <v>7</v>
      </c>
      <c r="B79" s="6">
        <f t="shared" si="8"/>
        <v>1993</v>
      </c>
      <c r="C79" t="s">
        <v>4</v>
      </c>
      <c r="D79">
        <v>-1.24159515396264</v>
      </c>
      <c r="E79">
        <v>3.4918512692795001</v>
      </c>
      <c r="F79">
        <v>3.1071368878488901</v>
      </c>
      <c r="G79">
        <v>8.4876237623762307</v>
      </c>
      <c r="H79">
        <v>4.97810156196243</v>
      </c>
      <c r="I79">
        <v>2.9356223175965601</v>
      </c>
      <c r="J79">
        <v>1.0405129023367801</v>
      </c>
      <c r="K79">
        <v>0</v>
      </c>
      <c r="L79">
        <v>1.69959967974379</v>
      </c>
      <c r="M79" s="10">
        <v>104.76955440810799</v>
      </c>
      <c r="N79">
        <f t="shared" si="7"/>
        <v>0.11767586094335947</v>
      </c>
    </row>
    <row r="80" spans="1:14" x14ac:dyDescent="0.2">
      <c r="A80" s="27">
        <v>7</v>
      </c>
      <c r="B80" s="6">
        <f t="shared" si="8"/>
        <v>1994</v>
      </c>
      <c r="C80" t="s">
        <v>4</v>
      </c>
      <c r="D80">
        <v>-0.87708228167592095</v>
      </c>
      <c r="E80">
        <v>1.75584392886791</v>
      </c>
      <c r="F80">
        <v>0.324252047467808</v>
      </c>
      <c r="G80">
        <v>5.2003403465346496</v>
      </c>
      <c r="H80">
        <v>5.4674705841877103</v>
      </c>
      <c r="I80">
        <v>4.4463519313304696</v>
      </c>
      <c r="J80">
        <v>-1.79559333343003</v>
      </c>
      <c r="K80">
        <v>0.16216216216216206</v>
      </c>
      <c r="L80">
        <v>2.4196957566052899</v>
      </c>
      <c r="M80" s="10">
        <v>121.33358832154001</v>
      </c>
      <c r="N80">
        <f t="shared" si="7"/>
        <v>0.15809968847352596</v>
      </c>
    </row>
    <row r="81" spans="1:14" x14ac:dyDescent="0.2">
      <c r="A81" s="27">
        <v>7</v>
      </c>
      <c r="B81" s="6">
        <f t="shared" si="8"/>
        <v>1995</v>
      </c>
      <c r="C81" t="s">
        <v>4</v>
      </c>
      <c r="D81">
        <v>-0.51640585562847097</v>
      </c>
      <c r="E81">
        <v>2.31799711626687</v>
      </c>
      <c r="F81">
        <v>-9.25706167474514</v>
      </c>
      <c r="G81">
        <v>4.96782178217821</v>
      </c>
      <c r="H81">
        <v>4.53172091103007</v>
      </c>
      <c r="I81">
        <v>4.1716738197424901</v>
      </c>
      <c r="J81">
        <v>-2.30672604110761</v>
      </c>
      <c r="K81">
        <v>9.3023255813953432E-2</v>
      </c>
      <c r="L81">
        <v>4.2725380304243501</v>
      </c>
      <c r="M81" s="10">
        <v>111.17995792694499</v>
      </c>
      <c r="N81">
        <f t="shared" si="7"/>
        <v>-8.3683591123072998E-2</v>
      </c>
    </row>
    <row r="82" spans="1:14" ht="16" thickBot="1" x14ac:dyDescent="0.25">
      <c r="A82" s="28">
        <v>7</v>
      </c>
      <c r="B82" s="7">
        <f t="shared" si="8"/>
        <v>1996</v>
      </c>
      <c r="C82" s="8" t="s">
        <v>4</v>
      </c>
      <c r="D82" s="8">
        <v>7.1781928319030103E-2</v>
      </c>
      <c r="E82" s="8">
        <v>-0.34840739284310002</v>
      </c>
      <c r="F82" s="8">
        <v>-13.3812468661206</v>
      </c>
      <c r="G82" s="8">
        <v>3.8943378712871199</v>
      </c>
      <c r="H82" s="8">
        <v>4.6007190531892901</v>
      </c>
      <c r="I82" s="8">
        <v>4.65236051502146</v>
      </c>
      <c r="J82" s="8">
        <v>-1.77366153667628</v>
      </c>
      <c r="K82" s="8">
        <v>0.10638297872340319</v>
      </c>
      <c r="L82" s="8">
        <v>-0.83586869495596205</v>
      </c>
      <c r="M82" s="11">
        <v>108.155797794352</v>
      </c>
      <c r="N82">
        <f t="shared" si="7"/>
        <v>-2.7200587129023179E-2</v>
      </c>
    </row>
    <row r="83" spans="1:14" x14ac:dyDescent="0.2">
      <c r="A83">
        <v>8</v>
      </c>
      <c r="B83" s="4">
        <v>1987</v>
      </c>
      <c r="C83" s="5" t="s">
        <v>5</v>
      </c>
      <c r="D83" s="5">
        <v>1.0069551079396599</v>
      </c>
      <c r="E83" s="5">
        <v>3.1135223524846798</v>
      </c>
      <c r="F83" s="5">
        <v>-4.4863992468310103</v>
      </c>
      <c r="G83" s="5">
        <v>4.8464104032611202</v>
      </c>
      <c r="H83" s="5">
        <v>11.858341559723501</v>
      </c>
      <c r="I83" s="5">
        <v>4.0458887822785803</v>
      </c>
      <c r="J83" s="5">
        <v>-1.41858793608668</v>
      </c>
      <c r="K83" s="5">
        <v>0.02</v>
      </c>
      <c r="L83" s="5">
        <v>11.513003305587601</v>
      </c>
      <c r="M83" s="9">
        <v>113.65317470580599</v>
      </c>
      <c r="N83">
        <v>0</v>
      </c>
    </row>
    <row r="84" spans="1:14" x14ac:dyDescent="0.2">
      <c r="A84">
        <v>8</v>
      </c>
      <c r="B84" s="6">
        <f>B83+1</f>
        <v>1988</v>
      </c>
      <c r="C84" t="s">
        <v>5</v>
      </c>
      <c r="D84">
        <v>1.6597416674193799</v>
      </c>
      <c r="E84">
        <v>5.43524292563953</v>
      </c>
      <c r="F84">
        <v>-5.0230321778017197</v>
      </c>
      <c r="G84">
        <v>2.9061078731933998</v>
      </c>
      <c r="H84">
        <v>11.858341559723501</v>
      </c>
      <c r="I84">
        <v>5.1332026198322902</v>
      </c>
      <c r="J84">
        <v>-0.66069552717421198</v>
      </c>
      <c r="K84">
        <v>0</v>
      </c>
      <c r="L84">
        <v>16.593253415110102</v>
      </c>
      <c r="M84" s="10">
        <v>110.156472261735</v>
      </c>
      <c r="N84">
        <f t="shared" si="7"/>
        <v>-3.0766430001821665E-2</v>
      </c>
    </row>
    <row r="85" spans="1:14" x14ac:dyDescent="0.2">
      <c r="A85">
        <v>8</v>
      </c>
      <c r="B85" s="6">
        <f t="shared" ref="B85:B95" si="9">B84+1</f>
        <v>1989</v>
      </c>
      <c r="C85" t="s">
        <v>5</v>
      </c>
      <c r="D85">
        <v>2.3174058350645801</v>
      </c>
      <c r="E85">
        <v>6.5183614644826902</v>
      </c>
      <c r="F85">
        <v>1.15295383477351</v>
      </c>
      <c r="G85">
        <v>2.7664319644240698</v>
      </c>
      <c r="H85">
        <v>12.035208950312599</v>
      </c>
      <c r="I85">
        <v>5.5970964915939998</v>
      </c>
      <c r="J85">
        <v>0.167965942389564</v>
      </c>
      <c r="K85">
        <v>-6.1158217571716023E-2</v>
      </c>
      <c r="L85">
        <v>22.934007726313201</v>
      </c>
      <c r="M85" s="10">
        <v>104.218285270916</v>
      </c>
      <c r="N85">
        <f t="shared" si="7"/>
        <v>-5.390683696469234E-2</v>
      </c>
    </row>
    <row r="86" spans="1:14" x14ac:dyDescent="0.2">
      <c r="A86">
        <v>8</v>
      </c>
      <c r="B86" s="6">
        <f t="shared" si="9"/>
        <v>1990</v>
      </c>
      <c r="C86" t="s">
        <v>5</v>
      </c>
      <c r="D86">
        <v>1.7315508987444601</v>
      </c>
      <c r="E86">
        <v>4.7143649011945303</v>
      </c>
      <c r="F86">
        <v>4.4033489122759502</v>
      </c>
      <c r="G86">
        <v>2.7664319644240698</v>
      </c>
      <c r="H86">
        <v>14.2974662717999</v>
      </c>
      <c r="I86">
        <v>-2.4943473363647701</v>
      </c>
      <c r="J86">
        <v>-0.89998341350140898</v>
      </c>
      <c r="K86">
        <v>0</v>
      </c>
      <c r="L86">
        <v>25.1252538930264</v>
      </c>
      <c r="M86" s="10">
        <v>89.259019785335596</v>
      </c>
      <c r="N86">
        <f t="shared" si="7"/>
        <v>-0.14353782013102323</v>
      </c>
    </row>
    <row r="87" spans="1:14" x14ac:dyDescent="0.2">
      <c r="A87">
        <v>8</v>
      </c>
      <c r="B87" s="6">
        <f t="shared" si="9"/>
        <v>1991</v>
      </c>
      <c r="C87" t="s">
        <v>5</v>
      </c>
      <c r="D87">
        <v>0.21122753138831199</v>
      </c>
      <c r="E87">
        <v>3.46329092874366</v>
      </c>
      <c r="F87">
        <v>11.372516055277201</v>
      </c>
      <c r="G87">
        <v>2.7664319644240698</v>
      </c>
      <c r="H87">
        <v>15.979763079960501</v>
      </c>
      <c r="I87">
        <v>-5.9538609152726201</v>
      </c>
      <c r="J87">
        <v>1.20075192126942</v>
      </c>
      <c r="K87">
        <v>-0.36971560338200782</v>
      </c>
      <c r="L87">
        <v>19.7917081524552</v>
      </c>
      <c r="M87" s="10">
        <v>84.831242725979607</v>
      </c>
      <c r="N87">
        <f t="shared" si="7"/>
        <v>-4.9605934167825438E-2</v>
      </c>
    </row>
    <row r="88" spans="1:14" x14ac:dyDescent="0.2">
      <c r="A88">
        <v>8</v>
      </c>
      <c r="B88" s="6">
        <f t="shared" si="9"/>
        <v>1992</v>
      </c>
      <c r="C88" t="s">
        <v>5</v>
      </c>
      <c r="D88">
        <v>-1.48143799114804</v>
      </c>
      <c r="E88">
        <v>2.45749840636346</v>
      </c>
      <c r="F88">
        <v>14.060388016542699</v>
      </c>
      <c r="G88">
        <v>2.7664319644240698</v>
      </c>
      <c r="H88">
        <v>18.793188548864698</v>
      </c>
      <c r="I88">
        <v>-3.4508364273497198</v>
      </c>
      <c r="J88">
        <v>2.1337977552938501</v>
      </c>
      <c r="K88">
        <v>4.7256097560972155E-2</v>
      </c>
      <c r="L88">
        <v>1.3644509936676099</v>
      </c>
      <c r="M88" s="10">
        <v>77.2791930686667</v>
      </c>
      <c r="N88">
        <f t="shared" si="7"/>
        <v>-8.9024390243903517E-2</v>
      </c>
    </row>
    <row r="89" spans="1:14" x14ac:dyDescent="0.2">
      <c r="A89">
        <v>8</v>
      </c>
      <c r="B89" s="6">
        <f t="shared" si="9"/>
        <v>1993</v>
      </c>
      <c r="C89" t="s">
        <v>5</v>
      </c>
      <c r="D89">
        <v>-2.1312437900821899</v>
      </c>
      <c r="E89">
        <v>1.63019317646406</v>
      </c>
      <c r="F89">
        <v>9.6967149725967303</v>
      </c>
      <c r="G89">
        <v>2.7664319644240698</v>
      </c>
      <c r="H89">
        <v>18.126850937808499</v>
      </c>
      <c r="I89">
        <v>0.76826164949313303</v>
      </c>
      <c r="J89">
        <v>-1.2113672803671101</v>
      </c>
      <c r="K89">
        <v>0.78719068413390647</v>
      </c>
      <c r="L89">
        <v>-15.635031263690299</v>
      </c>
      <c r="M89" s="10">
        <v>96.438639596534301</v>
      </c>
      <c r="N89">
        <f t="shared" si="7"/>
        <v>0.24792503346720252</v>
      </c>
    </row>
    <row r="90" spans="1:14" x14ac:dyDescent="0.2">
      <c r="A90">
        <v>8</v>
      </c>
      <c r="B90" s="6">
        <f t="shared" si="9"/>
        <v>1994</v>
      </c>
      <c r="C90" t="s">
        <v>5</v>
      </c>
      <c r="D90">
        <v>-1.4128804985999399</v>
      </c>
      <c r="E90">
        <v>2.0672653196973401</v>
      </c>
      <c r="F90">
        <v>6.6557950304293403</v>
      </c>
      <c r="G90">
        <v>2.7664319644240698</v>
      </c>
      <c r="H90">
        <v>15.918065153010801</v>
      </c>
      <c r="I90">
        <v>2.2503858829418699</v>
      </c>
      <c r="J90">
        <v>-5.3336650633051299</v>
      </c>
      <c r="K90">
        <v>0.54618015963512634</v>
      </c>
      <c r="L90">
        <v>-5.5067903938826799</v>
      </c>
      <c r="M90" s="10">
        <v>95.2178973231605</v>
      </c>
      <c r="N90">
        <f t="shared" si="7"/>
        <v>-1.2658227848100778E-2</v>
      </c>
    </row>
    <row r="91" spans="1:14" x14ac:dyDescent="0.2">
      <c r="A91">
        <v>8</v>
      </c>
      <c r="B91" s="6">
        <f t="shared" si="9"/>
        <v>1995</v>
      </c>
      <c r="C91" t="s">
        <v>5</v>
      </c>
      <c r="D91">
        <v>-1.2973082829012701</v>
      </c>
      <c r="E91">
        <v>-0.27718189628890499</v>
      </c>
      <c r="F91">
        <v>-1.04771191284763</v>
      </c>
      <c r="G91">
        <v>2.7664319644240698</v>
      </c>
      <c r="H91">
        <v>13.5735439289239</v>
      </c>
      <c r="I91">
        <v>4.5161236494096899</v>
      </c>
      <c r="J91">
        <v>-2.4564604412008602</v>
      </c>
      <c r="K91">
        <v>0.16403286978507681</v>
      </c>
      <c r="L91">
        <v>2.6727468238480299</v>
      </c>
      <c r="M91" s="10">
        <v>95.2178973231605</v>
      </c>
      <c r="N91">
        <f t="shared" si="7"/>
        <v>0</v>
      </c>
    </row>
    <row r="92" spans="1:14" x14ac:dyDescent="0.2">
      <c r="A92">
        <v>8</v>
      </c>
      <c r="B92" s="6">
        <f t="shared" si="9"/>
        <v>1996</v>
      </c>
      <c r="C92" t="s">
        <v>5</v>
      </c>
      <c r="D92">
        <v>-1.1509800379369499</v>
      </c>
      <c r="E92">
        <v>0.71419860868601104</v>
      </c>
      <c r="F92">
        <v>-10.610604888873899</v>
      </c>
      <c r="G92">
        <v>2.7664319644240698</v>
      </c>
      <c r="H92">
        <v>14.7046725896676</v>
      </c>
      <c r="I92">
        <v>3.09440574026948</v>
      </c>
      <c r="J92">
        <v>-3.7431304251672399</v>
      </c>
      <c r="K92">
        <v>0.3272694361480748</v>
      </c>
      <c r="L92">
        <v>-5.8688119797682203</v>
      </c>
      <c r="M92" s="10">
        <v>90.769429716798101</v>
      </c>
      <c r="N92">
        <f t="shared" si="7"/>
        <v>-4.6718817905259113E-2</v>
      </c>
    </row>
    <row r="93" spans="1:14" x14ac:dyDescent="0.2">
      <c r="A93">
        <v>8</v>
      </c>
      <c r="B93" s="6">
        <f t="shared" si="9"/>
        <v>1997</v>
      </c>
      <c r="C93" t="s">
        <v>5</v>
      </c>
      <c r="D93">
        <v>-0.83312257248667598</v>
      </c>
      <c r="E93">
        <v>1.4833014606025301</v>
      </c>
      <c r="F93">
        <v>-17.330284792037901</v>
      </c>
      <c r="G93">
        <v>2.7664319644240698</v>
      </c>
      <c r="H93">
        <v>14.001316222441501</v>
      </c>
      <c r="I93">
        <v>6.3730340828500998</v>
      </c>
      <c r="J93">
        <v>-2.9211035550395299</v>
      </c>
      <c r="K93">
        <v>0.55076713262870602</v>
      </c>
      <c r="L93">
        <v>-10.866621530128601</v>
      </c>
      <c r="M93" s="10">
        <v>88.596922281132805</v>
      </c>
      <c r="N93">
        <f t="shared" si="7"/>
        <v>-2.3934351493047235E-2</v>
      </c>
    </row>
    <row r="94" spans="1:14" x14ac:dyDescent="0.2">
      <c r="A94">
        <v>8</v>
      </c>
      <c r="B94" s="6">
        <f t="shared" si="9"/>
        <v>1998</v>
      </c>
      <c r="C94" t="s">
        <v>5</v>
      </c>
      <c r="D94">
        <v>-0.34373588655044601</v>
      </c>
      <c r="E94">
        <v>0.795681937862035</v>
      </c>
      <c r="F94">
        <v>-17.857503110184599</v>
      </c>
      <c r="G94">
        <v>2.7664319644240698</v>
      </c>
      <c r="H94">
        <v>13.832675222112499</v>
      </c>
      <c r="I94">
        <v>5.6565016061073603</v>
      </c>
      <c r="J94">
        <v>-0.88317576159672795</v>
      </c>
      <c r="K94">
        <v>0.25252836162166825</v>
      </c>
      <c r="L94">
        <v>-5.8281890955434204</v>
      </c>
      <c r="M94" s="10">
        <v>80.237941290572905</v>
      </c>
      <c r="N94">
        <f t="shared" si="7"/>
        <v>-9.4348435310602108E-2</v>
      </c>
    </row>
    <row r="95" spans="1:14" ht="16" thickBot="1" x14ac:dyDescent="0.25">
      <c r="A95">
        <v>8</v>
      </c>
      <c r="B95" s="7">
        <f t="shared" si="9"/>
        <v>1999</v>
      </c>
      <c r="C95" s="8" t="s">
        <v>5</v>
      </c>
      <c r="D95" s="8">
        <v>0.37381447023755798</v>
      </c>
      <c r="E95" s="8">
        <v>1.5772567279177401</v>
      </c>
      <c r="F95" s="8">
        <v>-15.294374768837599</v>
      </c>
      <c r="G95" s="8">
        <v>2.7664319644240698</v>
      </c>
      <c r="H95" s="8">
        <v>0</v>
      </c>
      <c r="I95" s="8">
        <v>4.1596929623294701</v>
      </c>
      <c r="J95" s="8">
        <v>-2.4420854757560599</v>
      </c>
      <c r="K95" s="8">
        <v>0.4278392136212037</v>
      </c>
      <c r="L95" s="8">
        <v>-10.330160500219</v>
      </c>
      <c r="M95" s="11">
        <v>83.217380059485194</v>
      </c>
      <c r="N95">
        <f t="shared" si="7"/>
        <v>3.7132542547702929E-2</v>
      </c>
    </row>
    <row r="96" spans="1:14" x14ac:dyDescent="0.2">
      <c r="A96" s="26">
        <v>9</v>
      </c>
      <c r="B96" s="4">
        <v>1987</v>
      </c>
      <c r="C96" s="5" t="s">
        <v>6</v>
      </c>
      <c r="D96" s="5">
        <v>1.4362059969582199</v>
      </c>
      <c r="E96" s="5">
        <v>5.0118133837997902</v>
      </c>
      <c r="F96" s="5">
        <v>4.0863245039547502</v>
      </c>
      <c r="G96" s="5">
        <v>9.1403909700132697</v>
      </c>
      <c r="H96" s="5">
        <v>4.5320567618396304</v>
      </c>
      <c r="I96" s="5">
        <v>3.6458481754136001</v>
      </c>
      <c r="J96" s="5">
        <v>-0.67094270641245402</v>
      </c>
      <c r="K96" s="5">
        <v>0.1</v>
      </c>
      <c r="L96" s="5">
        <v>0.391408037642207</v>
      </c>
      <c r="M96" s="9">
        <v>136.69414123412699</v>
      </c>
      <c r="N96">
        <v>0</v>
      </c>
    </row>
    <row r="97" spans="1:14" x14ac:dyDescent="0.2">
      <c r="A97" s="27">
        <v>9</v>
      </c>
      <c r="B97" s="6">
        <f>B96+1</f>
        <v>1988</v>
      </c>
      <c r="C97" t="s">
        <v>6</v>
      </c>
      <c r="D97">
        <v>1.97861876797033</v>
      </c>
      <c r="E97">
        <v>5.4416794987833903</v>
      </c>
      <c r="F97">
        <v>5.2632294925860599</v>
      </c>
      <c r="G97">
        <v>10.6397270004014</v>
      </c>
      <c r="H97">
        <v>4.2140536843904899</v>
      </c>
      <c r="I97">
        <v>1.38621071796089</v>
      </c>
      <c r="J97">
        <v>-1.1042765742507601</v>
      </c>
      <c r="K97">
        <v>0.21332644628099162</v>
      </c>
      <c r="L97">
        <v>2.3270166618324502</v>
      </c>
      <c r="M97" s="10">
        <v>137.00824237023801</v>
      </c>
      <c r="N97">
        <f t="shared" si="7"/>
        <v>2.2978390534897919E-3</v>
      </c>
    </row>
    <row r="98" spans="1:14" x14ac:dyDescent="0.2">
      <c r="A98" s="27">
        <v>9</v>
      </c>
      <c r="B98" s="6">
        <f t="shared" ref="B98:B109" si="10">B97+1</f>
        <v>1989</v>
      </c>
      <c r="C98" t="s">
        <v>6</v>
      </c>
      <c r="D98">
        <v>2.5901930527647901</v>
      </c>
      <c r="E98">
        <v>6.2902448485418399</v>
      </c>
      <c r="F98">
        <v>5.3774996599102201</v>
      </c>
      <c r="G98">
        <v>12.6141358615649</v>
      </c>
      <c r="H98">
        <v>4.2140536843904899</v>
      </c>
      <c r="I98">
        <v>2.5719939840101298</v>
      </c>
      <c r="J98">
        <v>1.1755367766143301</v>
      </c>
      <c r="K98">
        <v>0.30395913154533716</v>
      </c>
      <c r="L98">
        <v>7.0548519127267797</v>
      </c>
      <c r="M98" s="10">
        <v>122.00824237023799</v>
      </c>
      <c r="N98">
        <f t="shared" si="7"/>
        <v>-0.10948246427003594</v>
      </c>
    </row>
    <row r="99" spans="1:14" x14ac:dyDescent="0.2">
      <c r="A99" s="27">
        <v>9</v>
      </c>
      <c r="B99" s="6">
        <f t="shared" si="10"/>
        <v>1990</v>
      </c>
      <c r="C99" t="s">
        <v>6</v>
      </c>
      <c r="D99">
        <v>2.7344220073490999</v>
      </c>
      <c r="E99">
        <v>7.5395248786336397</v>
      </c>
      <c r="F99">
        <v>4.8255825252152196</v>
      </c>
      <c r="G99">
        <v>14.359243589347599</v>
      </c>
      <c r="H99">
        <v>3.69909386219866</v>
      </c>
      <c r="I99">
        <v>1.2654159740362501</v>
      </c>
      <c r="J99">
        <v>1.0944630630341601</v>
      </c>
      <c r="K99">
        <v>0.13581456088801169</v>
      </c>
      <c r="L99">
        <v>10.9138225530954</v>
      </c>
      <c r="M99" s="10">
        <v>124.307195366451</v>
      </c>
      <c r="N99">
        <f t="shared" si="7"/>
        <v>1.8842604004053687E-2</v>
      </c>
    </row>
    <row r="100" spans="1:14" x14ac:dyDescent="0.2">
      <c r="A100" s="27">
        <v>9</v>
      </c>
      <c r="B100" s="6">
        <f t="shared" si="10"/>
        <v>1991</v>
      </c>
      <c r="C100" t="s">
        <v>6</v>
      </c>
      <c r="D100">
        <v>1.7249747443910299</v>
      </c>
      <c r="E100">
        <v>7.18383035745771</v>
      </c>
      <c r="F100">
        <v>4.6825504790407502</v>
      </c>
      <c r="G100">
        <v>10.9974470625778</v>
      </c>
      <c r="H100">
        <v>6.2800478714310097</v>
      </c>
      <c r="I100">
        <v>-1.4264228607614899</v>
      </c>
      <c r="J100">
        <v>1.91879800522746</v>
      </c>
      <c r="K100">
        <v>-0.17188847369933369</v>
      </c>
      <c r="L100">
        <v>11.9702536336974</v>
      </c>
      <c r="M100" s="10">
        <v>110.94118957451499</v>
      </c>
      <c r="N100">
        <f t="shared" si="7"/>
        <v>-0.10752399129055823</v>
      </c>
    </row>
    <row r="101" spans="1:14" x14ac:dyDescent="0.2">
      <c r="A101" s="27">
        <v>9</v>
      </c>
      <c r="B101" s="6">
        <f t="shared" si="10"/>
        <v>1992</v>
      </c>
      <c r="C101" t="s">
        <v>6</v>
      </c>
      <c r="D101">
        <v>-5.7449572042317598E-2</v>
      </c>
      <c r="E101">
        <v>3.9135801017949299</v>
      </c>
      <c r="F101">
        <v>8.8709019181063802</v>
      </c>
      <c r="G101">
        <v>19.435522888936902</v>
      </c>
      <c r="H101">
        <v>4.76799452897931</v>
      </c>
      <c r="I101">
        <v>1.13797197815245</v>
      </c>
      <c r="J101">
        <v>3.0120103266359801</v>
      </c>
      <c r="K101">
        <v>4.3387712599792128E-2</v>
      </c>
      <c r="L101">
        <v>14.774726868413399</v>
      </c>
      <c r="M101" s="10">
        <v>101.31098240142499</v>
      </c>
      <c r="N101">
        <f t="shared" si="7"/>
        <v>-8.6804614318848228E-2</v>
      </c>
    </row>
    <row r="102" spans="1:14" x14ac:dyDescent="0.2">
      <c r="A102" s="27">
        <v>9</v>
      </c>
      <c r="B102" s="6">
        <f t="shared" si="10"/>
        <v>1993</v>
      </c>
      <c r="C102" t="s">
        <v>6</v>
      </c>
      <c r="D102">
        <v>-1.46438126533376</v>
      </c>
      <c r="E102">
        <v>3.5093390382377501</v>
      </c>
      <c r="F102">
        <v>13.2792428629729</v>
      </c>
      <c r="G102">
        <v>8.1974511802188399</v>
      </c>
      <c r="H102">
        <v>4.5771926825098204</v>
      </c>
      <c r="I102">
        <v>-0.54650518483337096</v>
      </c>
      <c r="J102">
        <v>0.50052114234402001</v>
      </c>
      <c r="K102">
        <v>-7.8842315369262117E-2</v>
      </c>
      <c r="L102">
        <v>-0.93315930258789503</v>
      </c>
      <c r="M102" s="10">
        <v>122.285586990421</v>
      </c>
      <c r="N102">
        <f t="shared" si="7"/>
        <v>0.20703189419176904</v>
      </c>
    </row>
    <row r="103" spans="1:14" x14ac:dyDescent="0.2">
      <c r="A103" s="27">
        <v>9</v>
      </c>
      <c r="B103" s="6">
        <f t="shared" si="10"/>
        <v>1994</v>
      </c>
      <c r="C103" t="s">
        <v>6</v>
      </c>
      <c r="D103">
        <v>-1.29256541480256</v>
      </c>
      <c r="E103">
        <v>3.4969966969543802</v>
      </c>
      <c r="F103">
        <v>11.8598052743067</v>
      </c>
      <c r="G103">
        <v>7.7288121635115203</v>
      </c>
      <c r="H103">
        <v>9.7165327406394209</v>
      </c>
      <c r="I103">
        <v>3.62035937623684</v>
      </c>
      <c r="J103">
        <v>-1.60303385019963</v>
      </c>
      <c r="K103">
        <v>0.33658360418923561</v>
      </c>
      <c r="L103">
        <v>-4.5890940732862902</v>
      </c>
      <c r="M103" s="10">
        <v>151.64067721096001</v>
      </c>
      <c r="N103">
        <f t="shared" si="7"/>
        <v>0.24005355776587534</v>
      </c>
    </row>
    <row r="104" spans="1:14" x14ac:dyDescent="0.2">
      <c r="A104" s="27">
        <v>9</v>
      </c>
      <c r="B104" s="6">
        <f t="shared" si="10"/>
        <v>1995</v>
      </c>
      <c r="C104" t="s">
        <v>6</v>
      </c>
      <c r="D104">
        <v>-0.87938365212757497</v>
      </c>
      <c r="E104">
        <v>2.8003009180350902</v>
      </c>
      <c r="F104">
        <v>1.2793205977806801</v>
      </c>
      <c r="G104">
        <v>9.0320455411094898</v>
      </c>
      <c r="H104">
        <v>9.2077278167207997</v>
      </c>
      <c r="I104">
        <v>3.9118182537797801</v>
      </c>
      <c r="J104">
        <v>-1.2004874685310201</v>
      </c>
      <c r="K104">
        <v>0.34666306403674318</v>
      </c>
      <c r="L104">
        <v>-7.8982564697541102</v>
      </c>
      <c r="M104" s="10">
        <v>138.36823345956699</v>
      </c>
      <c r="N104">
        <f t="shared" si="7"/>
        <v>-8.7525616447416743E-2</v>
      </c>
    </row>
    <row r="105" spans="1:14" x14ac:dyDescent="0.2">
      <c r="A105" s="27">
        <v>9</v>
      </c>
      <c r="B105" s="6">
        <f t="shared" si="10"/>
        <v>1996</v>
      </c>
      <c r="C105" t="s">
        <v>6</v>
      </c>
      <c r="D105">
        <v>-0.63001365468088999</v>
      </c>
      <c r="E105">
        <v>1.6643353355353601</v>
      </c>
      <c r="F105">
        <v>-8.9109353440736996</v>
      </c>
      <c r="G105">
        <v>5.2695510741895903</v>
      </c>
      <c r="H105">
        <v>7.2750897589331496</v>
      </c>
      <c r="I105">
        <v>2.3980052244122501</v>
      </c>
      <c r="J105">
        <v>-2.0486827125058</v>
      </c>
      <c r="K105">
        <v>0.17295345104334348</v>
      </c>
      <c r="L105">
        <v>5.7425311805085499</v>
      </c>
      <c r="M105" s="10">
        <v>130.39541100467801</v>
      </c>
      <c r="N105">
        <f t="shared" si="7"/>
        <v>-5.7620324084131203E-2</v>
      </c>
    </row>
    <row r="106" spans="1:14" x14ac:dyDescent="0.2">
      <c r="A106" s="27">
        <v>9</v>
      </c>
      <c r="B106" s="6">
        <f t="shared" si="10"/>
        <v>1997</v>
      </c>
      <c r="C106" t="s">
        <v>6</v>
      </c>
      <c r="D106">
        <v>-0.71246350425737304</v>
      </c>
      <c r="E106">
        <v>0.67929895501510196</v>
      </c>
      <c r="F106">
        <v>-5.7789999416988902</v>
      </c>
      <c r="G106">
        <v>3.84690610749101</v>
      </c>
      <c r="H106">
        <v>3.70524876047187</v>
      </c>
      <c r="I106">
        <v>2.8878334520699802</v>
      </c>
      <c r="J106">
        <v>-2.8930295207093901</v>
      </c>
      <c r="K106">
        <v>0.35819363667464654</v>
      </c>
      <c r="L106">
        <v>-1.58480776048212</v>
      </c>
      <c r="M106" s="10">
        <v>126.49587881488</v>
      </c>
      <c r="N106">
        <f t="shared" si="7"/>
        <v>-2.9905440381319148E-2</v>
      </c>
    </row>
    <row r="107" spans="1:14" x14ac:dyDescent="0.2">
      <c r="A107" s="27">
        <v>9</v>
      </c>
      <c r="B107" s="6">
        <f t="shared" si="10"/>
        <v>1998</v>
      </c>
      <c r="C107" t="s">
        <v>6</v>
      </c>
      <c r="D107">
        <v>-4.01203388137059E-2</v>
      </c>
      <c r="E107">
        <v>0.75876012365850398</v>
      </c>
      <c r="F107">
        <v>5.1110636065061499E-2</v>
      </c>
      <c r="G107">
        <v>3.9812441452291898</v>
      </c>
      <c r="H107">
        <v>3.3975038468114098</v>
      </c>
      <c r="I107">
        <v>4.5712024063959502</v>
      </c>
      <c r="J107">
        <v>-1.7233616086461501</v>
      </c>
      <c r="K107">
        <v>0.20982367758186715</v>
      </c>
      <c r="L107">
        <v>0.69628412130586503</v>
      </c>
      <c r="M107" s="10">
        <v>116.06036979282599</v>
      </c>
      <c r="N107">
        <f t="shared" si="7"/>
        <v>-8.2496830092985252E-2</v>
      </c>
    </row>
    <row r="108" spans="1:14" x14ac:dyDescent="0.2">
      <c r="A108" s="27">
        <v>9</v>
      </c>
      <c r="B108" s="6">
        <f t="shared" si="10"/>
        <v>1999</v>
      </c>
      <c r="C108" t="s">
        <v>6</v>
      </c>
      <c r="D108">
        <v>0.69928618212902005</v>
      </c>
      <c r="E108">
        <v>0.99032595535599199</v>
      </c>
      <c r="F108">
        <v>0.60535981499114599</v>
      </c>
      <c r="G108">
        <v>3.1057307268665699</v>
      </c>
      <c r="H108">
        <v>3.3687809882030999</v>
      </c>
      <c r="I108">
        <v>4.4703554183487704</v>
      </c>
      <c r="J108">
        <v>-1.8113625066145</v>
      </c>
      <c r="K108">
        <v>0.13449927128877714</v>
      </c>
      <c r="L108">
        <v>-1.21225305359503</v>
      </c>
      <c r="M108" s="10">
        <v>115.686121630652</v>
      </c>
      <c r="N108">
        <f t="shared" si="7"/>
        <v>-3.2245990844423922E-3</v>
      </c>
    </row>
    <row r="109" spans="1:14" ht="16" thickBot="1" x14ac:dyDescent="0.25">
      <c r="A109" s="28">
        <v>9</v>
      </c>
      <c r="B109" s="7">
        <f t="shared" si="10"/>
        <v>2000</v>
      </c>
      <c r="C109" s="8" t="s">
        <v>6</v>
      </c>
      <c r="D109" s="8">
        <v>1.18372761686963</v>
      </c>
      <c r="E109" s="8">
        <v>0.63757008686657402</v>
      </c>
      <c r="F109" s="8">
        <v>-4.41086732611695</v>
      </c>
      <c r="G109" s="8">
        <v>3.9050677866650201</v>
      </c>
      <c r="H109" s="8">
        <v>3.5021371174559701</v>
      </c>
      <c r="I109" s="8">
        <v>5.4987730546980202</v>
      </c>
      <c r="J109" s="8">
        <v>-1.12993281272549</v>
      </c>
      <c r="K109" s="8">
        <v>0.50816663608001567</v>
      </c>
      <c r="L109" s="8">
        <v>2.0787005704335101E-2</v>
      </c>
      <c r="M109" s="11">
        <v>121.370015593673</v>
      </c>
      <c r="N109">
        <f t="shared" si="7"/>
        <v>4.9132029692963819E-2</v>
      </c>
    </row>
    <row r="110" spans="1:14" x14ac:dyDescent="0.2">
      <c r="A110">
        <v>10</v>
      </c>
      <c r="B110" s="4">
        <v>1987</v>
      </c>
      <c r="C110" s="5" t="s">
        <v>0</v>
      </c>
      <c r="D110" s="5">
        <v>1.03643897538924</v>
      </c>
      <c r="E110" s="5">
        <v>1.65172326620038</v>
      </c>
      <c r="F110" s="5">
        <v>14.820739106453299</v>
      </c>
      <c r="G110" s="5">
        <v>4.0639545092318698</v>
      </c>
      <c r="H110" s="5">
        <v>7.4358899168658397</v>
      </c>
      <c r="I110" s="5">
        <v>3.588839560582</v>
      </c>
      <c r="J110" s="5">
        <v>-1.6147087664247799</v>
      </c>
      <c r="K110" s="5">
        <v>0.1</v>
      </c>
      <c r="L110" s="5">
        <v>-17.34497921605</v>
      </c>
      <c r="M110" s="9">
        <v>95.682239838084001</v>
      </c>
      <c r="N110">
        <v>0</v>
      </c>
    </row>
    <row r="111" spans="1:14" x14ac:dyDescent="0.2">
      <c r="A111">
        <v>10</v>
      </c>
      <c r="B111" s="6">
        <f>B110+1</f>
        <v>1988</v>
      </c>
      <c r="C111" t="s">
        <v>0</v>
      </c>
      <c r="D111">
        <v>0.93500753390255997</v>
      </c>
      <c r="E111">
        <v>2.0231454172635499</v>
      </c>
      <c r="F111">
        <v>10.0498621070049</v>
      </c>
      <c r="G111">
        <v>6.7743560652106298</v>
      </c>
      <c r="H111">
        <v>8.9072328196706891</v>
      </c>
      <c r="I111">
        <v>4.9253702323471202</v>
      </c>
      <c r="J111">
        <v>-0.57991763090802395</v>
      </c>
      <c r="K111">
        <v>0.17672259907175936</v>
      </c>
      <c r="L111">
        <v>-5.29836133154694</v>
      </c>
      <c r="M111" s="10">
        <v>94.227525721032094</v>
      </c>
      <c r="N111">
        <f t="shared" si="7"/>
        <v>-1.5203595980963769E-2</v>
      </c>
    </row>
    <row r="112" spans="1:14" x14ac:dyDescent="0.2">
      <c r="A112">
        <v>10</v>
      </c>
      <c r="B112" s="6">
        <f t="shared" ref="B112:B136" si="11">B111+1</f>
        <v>1989</v>
      </c>
      <c r="C112" t="s">
        <v>0</v>
      </c>
      <c r="D112">
        <v>0.43224510296333302</v>
      </c>
      <c r="E112">
        <v>2.7695289458161199</v>
      </c>
      <c r="F112">
        <v>4.6303364589078697</v>
      </c>
      <c r="G112">
        <v>6.9749314531923199</v>
      </c>
      <c r="H112">
        <v>8.9072328196706891</v>
      </c>
      <c r="I112">
        <v>3.1564211413201999</v>
      </c>
      <c r="J112">
        <v>0.33990978623259199</v>
      </c>
      <c r="K112">
        <v>-0.17202669902912593</v>
      </c>
      <c r="L112">
        <v>14.6454704730495</v>
      </c>
      <c r="M112" s="10">
        <v>85.328470231067598</v>
      </c>
      <c r="N112">
        <f t="shared" si="7"/>
        <v>-9.4442207007651269E-2</v>
      </c>
    </row>
    <row r="113" spans="1:14" x14ac:dyDescent="0.2">
      <c r="A113">
        <v>10</v>
      </c>
      <c r="B113" s="6">
        <f t="shared" si="11"/>
        <v>1990</v>
      </c>
      <c r="C113" t="s">
        <v>0</v>
      </c>
      <c r="D113">
        <v>-0.33174284279256799</v>
      </c>
      <c r="E113">
        <v>2.3902418471391198</v>
      </c>
      <c r="F113">
        <v>1.5909542195256401</v>
      </c>
      <c r="G113">
        <v>4.0676013344678896</v>
      </c>
      <c r="H113">
        <v>8.5139949855578401</v>
      </c>
      <c r="I113">
        <v>0.34959007096795602</v>
      </c>
      <c r="J113">
        <v>1.0009805844283099</v>
      </c>
      <c r="K113">
        <v>-0.11029681201905528</v>
      </c>
      <c r="L113">
        <v>18.5447799649593</v>
      </c>
      <c r="M113" s="10">
        <v>77.9031033901163</v>
      </c>
      <c r="N113">
        <f t="shared" si="7"/>
        <v>-8.7020976947595252E-2</v>
      </c>
    </row>
    <row r="114" spans="1:14" x14ac:dyDescent="0.2">
      <c r="A114">
        <v>10</v>
      </c>
      <c r="B114" s="6">
        <f t="shared" si="11"/>
        <v>1991</v>
      </c>
      <c r="C114" t="s">
        <v>0</v>
      </c>
      <c r="D114">
        <v>-1.1133098945253601</v>
      </c>
      <c r="E114">
        <v>1.4069267717198899</v>
      </c>
      <c r="F114">
        <v>1.7842250413678999</v>
      </c>
      <c r="G114">
        <v>1.9575752664208399</v>
      </c>
      <c r="H114">
        <v>8.1207571514449892</v>
      </c>
      <c r="I114">
        <v>-1.4181924236041299</v>
      </c>
      <c r="J114">
        <v>-1.3524220435379499</v>
      </c>
      <c r="K114">
        <v>-0.19728171334431599</v>
      </c>
      <c r="L114">
        <v>11.3966470850939</v>
      </c>
      <c r="M114" s="10">
        <v>68.991398212177501</v>
      </c>
      <c r="N114">
        <f t="shared" si="7"/>
        <v>-0.1143947389786456</v>
      </c>
    </row>
    <row r="115" spans="1:14" x14ac:dyDescent="0.2">
      <c r="A115">
        <v>10</v>
      </c>
      <c r="B115" s="6">
        <f t="shared" si="11"/>
        <v>1992</v>
      </c>
      <c r="C115" t="s">
        <v>0</v>
      </c>
      <c r="D115">
        <v>-1.2507785032646901</v>
      </c>
      <c r="E115">
        <v>0.68561276368641</v>
      </c>
      <c r="F115">
        <v>3.7231108659680099</v>
      </c>
      <c r="G115">
        <v>1.1223172197684901</v>
      </c>
      <c r="H115">
        <v>8.1207571514449892</v>
      </c>
      <c r="I115">
        <v>1.46757834019248</v>
      </c>
      <c r="J115">
        <v>-1.92547558344773</v>
      </c>
      <c r="K115">
        <v>0.39148281169830668</v>
      </c>
      <c r="L115">
        <v>-5.1697069634820902</v>
      </c>
      <c r="M115" s="10">
        <v>66.056670602125195</v>
      </c>
      <c r="N115">
        <f t="shared" si="7"/>
        <v>-4.2537587092042806E-2</v>
      </c>
    </row>
    <row r="116" spans="1:14" x14ac:dyDescent="0.2">
      <c r="A116">
        <v>10</v>
      </c>
      <c r="B116" s="6">
        <f t="shared" si="11"/>
        <v>1993</v>
      </c>
      <c r="C116" t="s">
        <v>0</v>
      </c>
      <c r="D116">
        <v>-1.21263184329482</v>
      </c>
      <c r="E116">
        <v>0.228266059942136</v>
      </c>
      <c r="F116">
        <v>5.0080529509100904</v>
      </c>
      <c r="G116">
        <v>0.20736928832880899</v>
      </c>
      <c r="H116">
        <v>8.8465316774921998</v>
      </c>
      <c r="I116">
        <v>2.7030039858712098</v>
      </c>
      <c r="J116">
        <v>-2.0680917827024898</v>
      </c>
      <c r="K116">
        <v>-1.2536873156341888E-2</v>
      </c>
      <c r="L116">
        <v>1.5215225531622401</v>
      </c>
      <c r="M116" s="10">
        <v>58.643953449148199</v>
      </c>
      <c r="N116">
        <f t="shared" si="7"/>
        <v>-0.11221754117196625</v>
      </c>
    </row>
    <row r="117" spans="1:14" x14ac:dyDescent="0.2">
      <c r="A117">
        <v>10</v>
      </c>
      <c r="B117" s="6">
        <f t="shared" si="11"/>
        <v>1994</v>
      </c>
      <c r="C117" t="s">
        <v>0</v>
      </c>
      <c r="D117">
        <v>-0.84505273731793196</v>
      </c>
      <c r="E117">
        <v>0.22512008089660099</v>
      </c>
      <c r="F117">
        <v>4.1273028130170903</v>
      </c>
      <c r="G117">
        <v>0.169415292353818</v>
      </c>
      <c r="H117">
        <v>9.5709866134920603</v>
      </c>
      <c r="I117">
        <v>1.5500178230013899</v>
      </c>
      <c r="J117">
        <v>-2.3536771916061898</v>
      </c>
      <c r="K117">
        <v>0</v>
      </c>
      <c r="L117">
        <v>12.9813803291078</v>
      </c>
      <c r="M117" s="10">
        <v>66.1515432619329</v>
      </c>
      <c r="N117">
        <f t="shared" si="7"/>
        <v>0.12801984469370309</v>
      </c>
    </row>
    <row r="118" spans="1:14" x14ac:dyDescent="0.2">
      <c r="A118">
        <v>10</v>
      </c>
      <c r="B118" s="6">
        <f t="shared" si="11"/>
        <v>1995</v>
      </c>
      <c r="C118" t="s">
        <v>0</v>
      </c>
      <c r="D118">
        <v>-1.0514314414866901</v>
      </c>
      <c r="E118">
        <v>0.33218168028987799</v>
      </c>
      <c r="F118">
        <v>5.4087148372862597</v>
      </c>
      <c r="G118">
        <v>0.169415292353818</v>
      </c>
      <c r="H118">
        <v>10.6715247129891</v>
      </c>
      <c r="I118">
        <v>-0.73378917009623701</v>
      </c>
      <c r="J118">
        <v>-1.6640125514806801</v>
      </c>
      <c r="K118">
        <v>-0.1852128454070201</v>
      </c>
      <c r="L118">
        <v>19.998454086365001</v>
      </c>
      <c r="M118" s="10">
        <v>66.202142013830397</v>
      </c>
      <c r="N118">
        <f t="shared" si="7"/>
        <v>7.6489148102187876E-4</v>
      </c>
    </row>
    <row r="119" spans="1:14" x14ac:dyDescent="0.2">
      <c r="A119">
        <v>10</v>
      </c>
      <c r="B119" s="6">
        <f t="shared" si="11"/>
        <v>1996</v>
      </c>
      <c r="C119" t="s">
        <v>0</v>
      </c>
      <c r="D119">
        <v>-1.3799849321948701</v>
      </c>
      <c r="E119">
        <v>-0.16399820229768999</v>
      </c>
      <c r="F119">
        <v>6.25239933811363</v>
      </c>
      <c r="G119">
        <v>1.19264691978315E-2</v>
      </c>
      <c r="H119">
        <v>12.1507851560782</v>
      </c>
      <c r="I119">
        <v>-0.12599241712304299</v>
      </c>
      <c r="J119">
        <v>-0.91657187683859698</v>
      </c>
      <c r="K119">
        <v>-0.10632447296058767</v>
      </c>
      <c r="L119">
        <v>7.2015527843622298</v>
      </c>
      <c r="M119" s="10">
        <v>49.871394838927301</v>
      </c>
      <c r="N119">
        <f t="shared" si="7"/>
        <v>-0.24668004203687866</v>
      </c>
    </row>
    <row r="120" spans="1:14" x14ac:dyDescent="0.2">
      <c r="A120">
        <v>10</v>
      </c>
      <c r="B120" s="6">
        <f t="shared" si="11"/>
        <v>1997</v>
      </c>
      <c r="C120" t="s">
        <v>0</v>
      </c>
      <c r="D120">
        <v>-1.0990708186840701</v>
      </c>
      <c r="E120">
        <v>-0.39306480155051898</v>
      </c>
      <c r="F120">
        <v>5.1624931053502303</v>
      </c>
      <c r="G120">
        <v>1.35472804138458E-2</v>
      </c>
      <c r="H120">
        <v>14.755655909564</v>
      </c>
      <c r="I120">
        <v>1.5243527009948401</v>
      </c>
      <c r="J120">
        <v>-1.5764659737203299</v>
      </c>
      <c r="K120">
        <v>0.37589743589743829</v>
      </c>
      <c r="L120">
        <v>-7.8437940155965498</v>
      </c>
      <c r="M120" s="10">
        <v>51.414656771799599</v>
      </c>
      <c r="N120">
        <f t="shared" si="7"/>
        <v>3.0944831959416108E-2</v>
      </c>
    </row>
    <row r="121" spans="1:14" x14ac:dyDescent="0.2">
      <c r="A121">
        <v>10</v>
      </c>
      <c r="B121" s="6">
        <f t="shared" si="11"/>
        <v>1998</v>
      </c>
      <c r="C121" t="s">
        <v>0</v>
      </c>
      <c r="D121">
        <v>-1.1314163736815599</v>
      </c>
      <c r="E121">
        <v>-0.85237774219825302</v>
      </c>
      <c r="F121">
        <v>3.2077220077220101</v>
      </c>
      <c r="G121">
        <v>-0.184191687939815</v>
      </c>
      <c r="H121">
        <v>16.240194712842499</v>
      </c>
      <c r="I121">
        <v>1.71956317443857</v>
      </c>
      <c r="J121">
        <v>-1.37442635810943</v>
      </c>
      <c r="K121">
        <v>-0.32463660081997836</v>
      </c>
      <c r="L121">
        <v>3.3335051015150099</v>
      </c>
      <c r="M121" s="10">
        <v>55.924270534660003</v>
      </c>
      <c r="N121">
        <f t="shared" si="7"/>
        <v>8.771066551851181E-2</v>
      </c>
    </row>
    <row r="122" spans="1:14" x14ac:dyDescent="0.2">
      <c r="A122">
        <v>10</v>
      </c>
      <c r="B122" s="6">
        <f t="shared" si="11"/>
        <v>1999</v>
      </c>
      <c r="C122" t="s">
        <v>0</v>
      </c>
      <c r="D122">
        <v>-1.4425665494726201</v>
      </c>
      <c r="E122">
        <v>-0.85237774219825302</v>
      </c>
      <c r="F122">
        <v>3.8422504136789599</v>
      </c>
      <c r="G122">
        <v>-0.184191687939815</v>
      </c>
      <c r="H122">
        <v>21.079131416506598</v>
      </c>
      <c r="I122">
        <v>0.67001523056482803</v>
      </c>
      <c r="J122">
        <v>-1.45914885271622</v>
      </c>
      <c r="K122">
        <v>-0.2400662251655632</v>
      </c>
      <c r="L122">
        <v>12.566560170394</v>
      </c>
      <c r="M122" s="10">
        <v>60.446533985495002</v>
      </c>
      <c r="N122">
        <f t="shared" si="7"/>
        <v>8.086405790545359E-2</v>
      </c>
    </row>
    <row r="123" spans="1:14" x14ac:dyDescent="0.2">
      <c r="A123">
        <v>10</v>
      </c>
      <c r="B123" s="6">
        <f t="shared" si="11"/>
        <v>2000</v>
      </c>
      <c r="C123" t="s">
        <v>0</v>
      </c>
      <c r="D123">
        <v>-1.0920391762933199</v>
      </c>
      <c r="E123">
        <v>-0.40958119153956501</v>
      </c>
      <c r="F123">
        <v>2.5273028130171</v>
      </c>
      <c r="G123">
        <v>-0.18230074152113501</v>
      </c>
      <c r="H123">
        <v>21.063296335938301</v>
      </c>
      <c r="I123">
        <v>2.00421270942027</v>
      </c>
      <c r="J123">
        <v>-0.76924887232790695</v>
      </c>
      <c r="K123">
        <v>0.13362381989833017</v>
      </c>
      <c r="L123">
        <v>-1.50125390772612</v>
      </c>
      <c r="M123" s="10">
        <v>67.966773486253999</v>
      </c>
      <c r="N123">
        <f t="shared" si="7"/>
        <v>0.12441142617976375</v>
      </c>
    </row>
    <row r="124" spans="1:14" x14ac:dyDescent="0.2">
      <c r="A124">
        <v>10</v>
      </c>
      <c r="B124" s="6">
        <f t="shared" si="11"/>
        <v>2001</v>
      </c>
      <c r="C124" t="s">
        <v>0</v>
      </c>
      <c r="D124">
        <v>-0.51491712707182402</v>
      </c>
      <c r="E124">
        <v>-0.60138760147187398</v>
      </c>
      <c r="F124">
        <v>-1.3822393822393899</v>
      </c>
      <c r="G124">
        <v>-0.140429785107446</v>
      </c>
      <c r="H124">
        <v>17.3235781417239</v>
      </c>
      <c r="I124">
        <v>1.37541722025989</v>
      </c>
      <c r="J124">
        <v>-1.42914296920965</v>
      </c>
      <c r="K124">
        <v>0.15951313260730315</v>
      </c>
      <c r="L124">
        <v>-3.3048198151774302</v>
      </c>
      <c r="M124" s="10">
        <v>73.981700118063699</v>
      </c>
      <c r="N124">
        <f t="shared" si="7"/>
        <v>8.8498045784477286E-2</v>
      </c>
    </row>
    <row r="125" spans="1:14" x14ac:dyDescent="0.2">
      <c r="A125">
        <v>10</v>
      </c>
      <c r="B125" s="6">
        <f t="shared" si="11"/>
        <v>2002</v>
      </c>
      <c r="C125" t="s">
        <v>0</v>
      </c>
      <c r="D125">
        <v>0.18385233550979199</v>
      </c>
      <c r="E125">
        <v>-0.45588607061599601</v>
      </c>
      <c r="F125">
        <v>-2.6954219525648102</v>
      </c>
      <c r="G125">
        <v>9.95853424639037E-2</v>
      </c>
      <c r="H125">
        <v>17.679867454510799</v>
      </c>
      <c r="I125">
        <v>1.36258465925661</v>
      </c>
      <c r="J125">
        <v>-1.4567954500882501</v>
      </c>
      <c r="K125">
        <v>0.40828729281767973</v>
      </c>
      <c r="L125">
        <v>0.87704833556631401</v>
      </c>
      <c r="M125" s="10">
        <v>117.31953111823201</v>
      </c>
      <c r="N125">
        <f t="shared" si="7"/>
        <v>0.58579122852012899</v>
      </c>
    </row>
    <row r="126" spans="1:14" x14ac:dyDescent="0.2">
      <c r="A126">
        <v>10</v>
      </c>
      <c r="B126" s="6">
        <f t="shared" si="11"/>
        <v>2003</v>
      </c>
      <c r="C126" t="s">
        <v>0</v>
      </c>
      <c r="D126">
        <v>0.51750376695127898</v>
      </c>
      <c r="E126">
        <v>-0.19703098227578</v>
      </c>
      <c r="F126">
        <v>-5.5168229453943596</v>
      </c>
      <c r="G126">
        <v>0.34000567283925398</v>
      </c>
      <c r="H126">
        <v>19.151210357315701</v>
      </c>
      <c r="I126">
        <v>0.52341294273956096</v>
      </c>
      <c r="J126">
        <v>-1.42667189645028</v>
      </c>
      <c r="K126">
        <v>-5.1000392310713849E-3</v>
      </c>
      <c r="L126">
        <v>-4.0334604417877804</v>
      </c>
      <c r="M126" s="10">
        <v>141.25906560971401</v>
      </c>
      <c r="N126">
        <f t="shared" si="7"/>
        <v>0.204054126907107</v>
      </c>
    </row>
    <row r="127" spans="1:14" x14ac:dyDescent="0.2">
      <c r="A127">
        <v>10</v>
      </c>
      <c r="B127" s="6">
        <f t="shared" si="11"/>
        <v>2004</v>
      </c>
      <c r="C127" t="s">
        <v>0</v>
      </c>
      <c r="D127">
        <v>-2.0592667001508799E-2</v>
      </c>
      <c r="E127">
        <v>0.73801297716355996</v>
      </c>
      <c r="F127">
        <v>-4.2389409817981196</v>
      </c>
      <c r="G127">
        <v>0.30151140645893099</v>
      </c>
      <c r="H127">
        <v>22.493731947274998</v>
      </c>
      <c r="I127">
        <v>-1.13626494701707</v>
      </c>
      <c r="J127">
        <v>-1.1963914493037799</v>
      </c>
      <c r="K127">
        <v>-0.12815457413249254</v>
      </c>
      <c r="L127">
        <v>-8.3463877151396808</v>
      </c>
      <c r="M127" s="10">
        <v>157.70998482037399</v>
      </c>
      <c r="N127">
        <f t="shared" si="7"/>
        <v>0.116459210172835</v>
      </c>
    </row>
    <row r="128" spans="1:14" x14ac:dyDescent="0.2">
      <c r="A128">
        <v>10</v>
      </c>
      <c r="B128" s="6">
        <f t="shared" si="11"/>
        <v>2005</v>
      </c>
      <c r="C128" t="s">
        <v>0</v>
      </c>
      <c r="D128">
        <v>-1.53362631843294</v>
      </c>
      <c r="E128">
        <v>-0.28177579281480902</v>
      </c>
      <c r="F128">
        <v>5.2675124103695401</v>
      </c>
      <c r="G128">
        <v>2.3137080108593701E-2</v>
      </c>
      <c r="H128">
        <v>26.2215738310631</v>
      </c>
      <c r="I128">
        <v>-9.0092355552674999</v>
      </c>
      <c r="J128">
        <v>-1.25240243184938</v>
      </c>
      <c r="K128">
        <v>-0.24649479873360503</v>
      </c>
      <c r="L128">
        <v>-2.2419183070527899</v>
      </c>
      <c r="M128" s="10">
        <v>156.27424523528401</v>
      </c>
      <c r="N128">
        <f t="shared" si="7"/>
        <v>-9.1036695408044377E-3</v>
      </c>
    </row>
    <row r="129" spans="1:14" x14ac:dyDescent="0.2">
      <c r="A129">
        <v>10</v>
      </c>
      <c r="B129" s="6">
        <f t="shared" si="11"/>
        <v>2006</v>
      </c>
      <c r="C129" t="s">
        <v>0</v>
      </c>
      <c r="D129">
        <v>-1.1827473631340999</v>
      </c>
      <c r="E129">
        <v>-1.41767085194236</v>
      </c>
      <c r="F129">
        <v>9.1399889685604006</v>
      </c>
      <c r="G129">
        <v>2.5298161729942498E-2</v>
      </c>
      <c r="H129">
        <v>29.946776534756498</v>
      </c>
      <c r="I129">
        <v>3.9100424511487701</v>
      </c>
      <c r="J129">
        <v>-1.22263188860561</v>
      </c>
      <c r="K129">
        <v>9.9639855942377897E-2</v>
      </c>
      <c r="L129">
        <v>10.73894671751</v>
      </c>
      <c r="M129" s="10">
        <v>189.15710912464101</v>
      </c>
      <c r="N129">
        <f t="shared" si="7"/>
        <v>0.21041767848469894</v>
      </c>
    </row>
    <row r="130" spans="1:14" x14ac:dyDescent="0.2">
      <c r="A130">
        <v>10</v>
      </c>
      <c r="B130" s="6">
        <f t="shared" si="11"/>
        <v>2007</v>
      </c>
      <c r="C130" t="s">
        <v>0</v>
      </c>
      <c r="D130">
        <v>-0.97144650929181398</v>
      </c>
      <c r="E130">
        <v>-0.81993483329119898</v>
      </c>
      <c r="F130">
        <v>6.9654715940430201</v>
      </c>
      <c r="G130">
        <v>2.71891081486259E-2</v>
      </c>
      <c r="H130">
        <v>29.946776534756498</v>
      </c>
      <c r="I130">
        <v>-0.33909070287436499</v>
      </c>
      <c r="J130">
        <v>-0.96316924887232902</v>
      </c>
      <c r="K130">
        <v>5.4585152838426687E-3</v>
      </c>
      <c r="L130">
        <v>10.553780617678299</v>
      </c>
      <c r="M130" s="10">
        <v>214.576657109124</v>
      </c>
      <c r="N130">
        <f t="shared" si="7"/>
        <v>0.13438325475641166</v>
      </c>
    </row>
    <row r="131" spans="1:14" x14ac:dyDescent="0.2">
      <c r="A131">
        <v>10</v>
      </c>
      <c r="B131" s="6">
        <f t="shared" si="11"/>
        <v>2008</v>
      </c>
      <c r="C131" t="s">
        <v>0</v>
      </c>
      <c r="D131">
        <v>-0.76049723756906096</v>
      </c>
      <c r="E131">
        <v>-1.0117412432235</v>
      </c>
      <c r="F131">
        <v>4.7909542195256396</v>
      </c>
      <c r="G131">
        <v>2.71891081486259E-2</v>
      </c>
      <c r="H131">
        <v>29.946776534756498</v>
      </c>
      <c r="I131">
        <v>1.10321138079653</v>
      </c>
      <c r="J131">
        <v>-0.96316924887232902</v>
      </c>
      <c r="K131">
        <v>0</v>
      </c>
      <c r="L131">
        <v>13.855508605585801</v>
      </c>
      <c r="M131" s="10">
        <v>226.56223646483301</v>
      </c>
      <c r="N131">
        <f t="shared" si="7"/>
        <v>5.585686494134201E-2</v>
      </c>
    </row>
    <row r="132" spans="1:14" x14ac:dyDescent="0.2">
      <c r="A132">
        <v>10</v>
      </c>
      <c r="B132" s="6">
        <f t="shared" si="11"/>
        <v>2009</v>
      </c>
      <c r="C132" t="s">
        <v>0</v>
      </c>
      <c r="D132">
        <v>-6.1376192867906597E-2</v>
      </c>
      <c r="E132">
        <v>0.90189882306676195</v>
      </c>
      <c r="F132">
        <v>5.4290126861555299</v>
      </c>
      <c r="G132">
        <v>-1.04947526236891E-2</v>
      </c>
      <c r="H132">
        <v>37.782502235971997</v>
      </c>
      <c r="I132">
        <v>1.5029650993227199</v>
      </c>
      <c r="J132">
        <v>-0.81843498725240205</v>
      </c>
      <c r="K132">
        <v>0.14929424538545022</v>
      </c>
      <c r="L132">
        <v>-3.1016180562712599</v>
      </c>
      <c r="M132" s="10">
        <v>229.591836734693</v>
      </c>
      <c r="N132">
        <f t="shared" ref="N132:N195" si="12">M132/M131-1</f>
        <v>1.3372044331537269E-2</v>
      </c>
    </row>
    <row r="133" spans="1:14" x14ac:dyDescent="0.2">
      <c r="A133">
        <v>10</v>
      </c>
      <c r="B133" s="6">
        <f t="shared" si="11"/>
        <v>2010</v>
      </c>
      <c r="C133" t="s">
        <v>0</v>
      </c>
      <c r="D133">
        <v>0.202310396785533</v>
      </c>
      <c r="E133">
        <v>1.0081739276986501</v>
      </c>
      <c r="F133">
        <v>3.4636514065085402</v>
      </c>
      <c r="G133">
        <v>-0.12908410659535</v>
      </c>
      <c r="H133">
        <v>58.679530225943097</v>
      </c>
      <c r="I133">
        <v>0.76489840889206495</v>
      </c>
      <c r="J133">
        <v>-0.64545989409688398</v>
      </c>
      <c r="K133">
        <v>9.2111478507322708E-2</v>
      </c>
      <c r="L133">
        <v>-14.355869318767301</v>
      </c>
      <c r="M133" s="10">
        <v>235.63206274245201</v>
      </c>
      <c r="N133">
        <f t="shared" si="12"/>
        <v>2.6308539944905895E-2</v>
      </c>
    </row>
    <row r="134" spans="1:14" x14ac:dyDescent="0.2">
      <c r="A134">
        <v>10</v>
      </c>
      <c r="B134" s="6">
        <f t="shared" si="11"/>
        <v>2011</v>
      </c>
      <c r="C134" t="s">
        <v>0</v>
      </c>
      <c r="D134">
        <v>0.16943746860873801</v>
      </c>
      <c r="E134">
        <v>0.51553327153731399</v>
      </c>
      <c r="F134">
        <v>3.43717595146166</v>
      </c>
      <c r="G134">
        <v>-0.366938152545351</v>
      </c>
      <c r="H134">
        <v>71.3673885312962</v>
      </c>
      <c r="I134">
        <v>0.95894228588094399</v>
      </c>
      <c r="J134">
        <v>-0.41435575603059499</v>
      </c>
      <c r="K134">
        <v>0</v>
      </c>
      <c r="L134">
        <v>-8.5339585695145601</v>
      </c>
      <c r="M134" s="10">
        <v>241.67228875020999</v>
      </c>
      <c r="N134">
        <f t="shared" si="12"/>
        <v>2.5634143068042459E-2</v>
      </c>
    </row>
    <row r="135" spans="1:14" x14ac:dyDescent="0.2">
      <c r="A135">
        <v>10</v>
      </c>
      <c r="B135" s="6">
        <f t="shared" si="11"/>
        <v>2012</v>
      </c>
      <c r="C135" t="s">
        <v>0</v>
      </c>
      <c r="D135">
        <v>0.32800100452033998</v>
      </c>
      <c r="E135">
        <v>-1.51540687059359E-2</v>
      </c>
      <c r="F135">
        <v>3.43717595146166</v>
      </c>
      <c r="G135">
        <v>-0.36558747653200602</v>
      </c>
      <c r="H135">
        <v>78.456226265706704</v>
      </c>
      <c r="I135">
        <v>0.95894228588094399</v>
      </c>
      <c r="J135">
        <v>-0.24126299274367799</v>
      </c>
      <c r="K135">
        <v>0.25346020761245702</v>
      </c>
      <c r="L135">
        <v>-2.4944175340959802</v>
      </c>
      <c r="M135" s="10">
        <v>241.67228875020999</v>
      </c>
      <c r="N135">
        <f t="shared" si="12"/>
        <v>0</v>
      </c>
    </row>
    <row r="136" spans="1:14" ht="16" thickBot="1" x14ac:dyDescent="0.25">
      <c r="A136">
        <v>10</v>
      </c>
      <c r="B136" s="7">
        <f t="shared" si="11"/>
        <v>2013</v>
      </c>
      <c r="C136" s="8" t="s">
        <v>0</v>
      </c>
      <c r="D136" s="8">
        <v>0.52154696132596501</v>
      </c>
      <c r="E136" s="8">
        <v>-0.13440633690064899</v>
      </c>
      <c r="F136" s="8">
        <v>3.43717595146166</v>
      </c>
      <c r="G136" s="8">
        <v>-0.125302213757986</v>
      </c>
      <c r="H136" s="8">
        <v>78.456226265706704</v>
      </c>
      <c r="I136" s="8">
        <v>1.04371496159953</v>
      </c>
      <c r="J136" s="8">
        <v>-0.24008629142969401</v>
      </c>
      <c r="K136" s="8">
        <v>0</v>
      </c>
      <c r="L136" s="8">
        <v>-1.09364801264214</v>
      </c>
      <c r="M136" s="11">
        <v>247.706189913982</v>
      </c>
      <c r="N136">
        <f t="shared" si="12"/>
        <v>2.4967286050775028E-2</v>
      </c>
    </row>
    <row r="137" spans="1:14" x14ac:dyDescent="0.2">
      <c r="A137" s="26">
        <v>11</v>
      </c>
      <c r="B137" s="4">
        <v>2005</v>
      </c>
      <c r="C137" s="5" t="s">
        <v>7</v>
      </c>
      <c r="D137" s="5">
        <v>1.44707765159819</v>
      </c>
      <c r="E137" s="5">
        <v>1.49071692653914</v>
      </c>
      <c r="F137" s="5">
        <v>6.6017236483890898</v>
      </c>
      <c r="G137" s="5">
        <v>2.4563435263500302</v>
      </c>
      <c r="H137" s="5">
        <v>8.7273569370111002</v>
      </c>
      <c r="I137" s="5">
        <v>3.2115562680523499</v>
      </c>
      <c r="J137" s="5">
        <v>-1.0583096039347599</v>
      </c>
      <c r="K137" s="5">
        <v>0.1</v>
      </c>
      <c r="L137" s="5">
        <v>3.4787111622554598</v>
      </c>
      <c r="M137" s="9">
        <v>78.232630581736998</v>
      </c>
      <c r="N137">
        <v>0.05</v>
      </c>
    </row>
    <row r="138" spans="1:14" x14ac:dyDescent="0.2">
      <c r="A138" s="27">
        <v>11</v>
      </c>
      <c r="B138" s="6">
        <f>B137+1</f>
        <v>2006</v>
      </c>
      <c r="C138" t="s">
        <v>7</v>
      </c>
      <c r="D138">
        <v>1.57560178892445</v>
      </c>
      <c r="E138">
        <v>1.4816749718694699</v>
      </c>
      <c r="F138">
        <v>6.5055200173700998</v>
      </c>
      <c r="G138">
        <v>3.2472348731294698</v>
      </c>
      <c r="H138">
        <v>8.7273569370111002</v>
      </c>
      <c r="I138">
        <v>4.2899293798974503</v>
      </c>
      <c r="J138">
        <v>-0.55999223401501397</v>
      </c>
      <c r="K138">
        <v>0.29725763551316042</v>
      </c>
      <c r="L138">
        <v>5.6674338319907802</v>
      </c>
      <c r="M138" s="10">
        <v>75.101559113023697</v>
      </c>
      <c r="N138">
        <f t="shared" si="12"/>
        <v>-4.0022576838215529E-2</v>
      </c>
    </row>
    <row r="139" spans="1:14" x14ac:dyDescent="0.2">
      <c r="A139" s="27">
        <v>11</v>
      </c>
      <c r="B139" s="6">
        <f t="shared" ref="B139:B149" si="13">B138+1</f>
        <v>2007</v>
      </c>
      <c r="C139" t="s">
        <v>7</v>
      </c>
      <c r="D139">
        <v>1.3939031876178301</v>
      </c>
      <c r="E139">
        <v>2.0698842629802301</v>
      </c>
      <c r="F139">
        <v>7.3920632004409397</v>
      </c>
      <c r="G139">
        <v>4.3285621340273197</v>
      </c>
      <c r="H139">
        <v>8.7551461506792805</v>
      </c>
      <c r="I139">
        <v>4.8369242250445597</v>
      </c>
      <c r="J139">
        <v>4.6595909914559598E-3</v>
      </c>
      <c r="K139">
        <v>0.21620475113121884</v>
      </c>
      <c r="L139">
        <v>7.74338319907939</v>
      </c>
      <c r="M139" s="10">
        <v>99.375391383933504</v>
      </c>
      <c r="N139">
        <f t="shared" si="12"/>
        <v>0.32321342669303355</v>
      </c>
    </row>
    <row r="140" spans="1:14" x14ac:dyDescent="0.2">
      <c r="A140" s="27">
        <v>11</v>
      </c>
      <c r="B140" s="6">
        <f t="shared" si="13"/>
        <v>2008</v>
      </c>
      <c r="C140" t="s">
        <v>7</v>
      </c>
      <c r="D140">
        <v>0.38450914193010799</v>
      </c>
      <c r="E140">
        <v>2.5452097733483301</v>
      </c>
      <c r="F140">
        <v>9.99824628797621</v>
      </c>
      <c r="G140">
        <v>3.6044242029928402</v>
      </c>
      <c r="H140">
        <v>12.2396047756278</v>
      </c>
      <c r="I140">
        <v>0.36698959355435901</v>
      </c>
      <c r="J140">
        <v>-1.2166709811029099E-2</v>
      </c>
      <c r="K140">
        <v>-0.55069178002557728</v>
      </c>
      <c r="L140">
        <v>3.48101265822784</v>
      </c>
      <c r="M140" s="10">
        <v>106.11923762423901</v>
      </c>
      <c r="N140">
        <f t="shared" si="12"/>
        <v>6.7862336403293977E-2</v>
      </c>
    </row>
    <row r="141" spans="1:14" x14ac:dyDescent="0.2">
      <c r="A141" s="27">
        <v>11</v>
      </c>
      <c r="B141" s="6">
        <f t="shared" si="13"/>
        <v>2009</v>
      </c>
      <c r="C141" t="s">
        <v>7</v>
      </c>
      <c r="D141">
        <v>-0.43582014293857202</v>
      </c>
      <c r="E141">
        <v>1.516195145475</v>
      </c>
      <c r="F141">
        <v>14.4804001803818</v>
      </c>
      <c r="G141">
        <v>0.38230318802862501</v>
      </c>
      <c r="H141">
        <v>12.7938452037875</v>
      </c>
      <c r="I141">
        <v>-4.0996282425130204</v>
      </c>
      <c r="J141">
        <v>-3.3104452498058499</v>
      </c>
      <c r="K141">
        <v>0.23812912407814624</v>
      </c>
      <c r="L141">
        <v>10.857307249712299</v>
      </c>
      <c r="M141" s="10">
        <v>119.438333948843</v>
      </c>
      <c r="N141">
        <f t="shared" si="12"/>
        <v>0.12551066727190419</v>
      </c>
    </row>
    <row r="142" spans="1:14" x14ac:dyDescent="0.2">
      <c r="A142" s="27">
        <v>11</v>
      </c>
      <c r="B142" s="6">
        <f t="shared" si="13"/>
        <v>2010</v>
      </c>
      <c r="C142" t="s">
        <v>7</v>
      </c>
      <c r="D142">
        <v>-0.45354496426535801</v>
      </c>
      <c r="E142">
        <v>1.2396720784439801</v>
      </c>
      <c r="F142">
        <v>10.962286840479001</v>
      </c>
      <c r="G142">
        <v>0.61535458685751099</v>
      </c>
      <c r="H142">
        <v>13.610539316591099</v>
      </c>
      <c r="I142">
        <v>3.3269531088047</v>
      </c>
      <c r="J142">
        <v>-2.2112347916127302</v>
      </c>
      <c r="K142">
        <v>2.278070954595468E-2</v>
      </c>
      <c r="L142">
        <v>2.1864211737629001E-2</v>
      </c>
      <c r="M142" s="10">
        <v>158.938004784919</v>
      </c>
      <c r="N142">
        <f t="shared" si="12"/>
        <v>0.33071183706392149</v>
      </c>
    </row>
    <row r="143" spans="1:14" x14ac:dyDescent="0.2">
      <c r="A143" s="27">
        <v>11</v>
      </c>
      <c r="B143" s="6">
        <f t="shared" si="13"/>
        <v>2011</v>
      </c>
      <c r="C143" t="s">
        <v>7</v>
      </c>
      <c r="D143">
        <v>-0.56380716446704904</v>
      </c>
      <c r="E143">
        <v>3.1801559234849699</v>
      </c>
      <c r="F143">
        <v>3.92071551450571</v>
      </c>
      <c r="G143">
        <v>0.74222511385816503</v>
      </c>
      <c r="H143">
        <v>15.3720666941127</v>
      </c>
      <c r="I143">
        <v>4.2111554886054199</v>
      </c>
      <c r="J143">
        <v>-1.8252006212787899</v>
      </c>
      <c r="K143">
        <v>-0.2751979565772672</v>
      </c>
      <c r="L143">
        <v>-2.3394706559263501</v>
      </c>
      <c r="M143" s="10">
        <v>198.425633038423</v>
      </c>
      <c r="N143">
        <f t="shared" si="12"/>
        <v>0.24844673435368825</v>
      </c>
    </row>
    <row r="144" spans="1:14" x14ac:dyDescent="0.2">
      <c r="A144" s="27">
        <v>11</v>
      </c>
      <c r="B144" s="6">
        <f t="shared" si="13"/>
        <v>2012</v>
      </c>
      <c r="C144" t="s">
        <v>7</v>
      </c>
      <c r="D144">
        <v>-1.02541982724602</v>
      </c>
      <c r="E144">
        <v>2.5354042758398898</v>
      </c>
      <c r="F144">
        <v>-5.4818532560586499</v>
      </c>
      <c r="G144">
        <v>0.231620039037082</v>
      </c>
      <c r="H144">
        <v>15.799711815561899</v>
      </c>
      <c r="I144">
        <v>0.63039843005016505</v>
      </c>
      <c r="J144">
        <v>-1.7743981361636001</v>
      </c>
      <c r="K144">
        <v>0.21489991542148168</v>
      </c>
      <c r="L144">
        <v>-3.6812428078250798</v>
      </c>
      <c r="M144" s="10">
        <v>218.31997944732501</v>
      </c>
      <c r="N144">
        <f t="shared" si="12"/>
        <v>0.10026096983674315</v>
      </c>
    </row>
    <row r="145" spans="1:14" x14ac:dyDescent="0.2">
      <c r="A145" s="27">
        <v>11</v>
      </c>
      <c r="B145" s="6">
        <f t="shared" si="13"/>
        <v>2013</v>
      </c>
      <c r="C145" t="s">
        <v>7</v>
      </c>
      <c r="D145">
        <v>-1.0640154338580201</v>
      </c>
      <c r="E145">
        <v>2.2364169747628999</v>
      </c>
      <c r="F145">
        <v>-8.1548444206904591</v>
      </c>
      <c r="G145">
        <v>0.14066363044892599</v>
      </c>
      <c r="H145">
        <v>12.9080897488678</v>
      </c>
      <c r="I145">
        <v>0.93195041390842803</v>
      </c>
      <c r="J145">
        <v>-1.8818275951333101</v>
      </c>
      <c r="K145">
        <v>9.8044903405465567E-2</v>
      </c>
      <c r="L145">
        <v>0.52589182968929205</v>
      </c>
      <c r="M145" s="10">
        <v>154.15308530965501</v>
      </c>
      <c r="N145">
        <f t="shared" si="12"/>
        <v>-0.29391214812362976</v>
      </c>
    </row>
    <row r="146" spans="1:14" x14ac:dyDescent="0.2">
      <c r="A146" s="27">
        <v>11</v>
      </c>
      <c r="B146" s="6">
        <f t="shared" si="13"/>
        <v>2014</v>
      </c>
      <c r="C146" t="s">
        <v>7</v>
      </c>
      <c r="D146">
        <v>-1.0910246854036001</v>
      </c>
      <c r="E146">
        <v>2.0157129078926199</v>
      </c>
      <c r="F146">
        <v>-9.4976867703305299</v>
      </c>
      <c r="G146">
        <v>-2.3292127521147E-2</v>
      </c>
      <c r="H146">
        <v>12.926615891313199</v>
      </c>
      <c r="I146">
        <v>0.91370803908290499</v>
      </c>
      <c r="J146">
        <v>-0.95961687807403695</v>
      </c>
      <c r="K146">
        <v>-0.19226501822792796</v>
      </c>
      <c r="L146">
        <v>-6.0126582278480996</v>
      </c>
      <c r="M146" s="10">
        <v>153.27799097609099</v>
      </c>
      <c r="N146">
        <f t="shared" si="12"/>
        <v>-5.6767876673124995E-3</v>
      </c>
    </row>
    <row r="147" spans="1:14" x14ac:dyDescent="0.2">
      <c r="A147" s="27">
        <v>11</v>
      </c>
      <c r="B147" s="6">
        <f t="shared" si="13"/>
        <v>2015</v>
      </c>
      <c r="C147" t="s">
        <v>7</v>
      </c>
      <c r="D147">
        <v>-1.1504910773008199</v>
      </c>
      <c r="E147">
        <v>1.7526523067030999</v>
      </c>
      <c r="F147">
        <v>-9.0306983114258301</v>
      </c>
      <c r="G147">
        <v>-0.16187378009108999</v>
      </c>
      <c r="H147">
        <v>17.467064635652498</v>
      </c>
      <c r="I147">
        <v>1.4309899252339</v>
      </c>
      <c r="J147">
        <v>-0.99877038571058696</v>
      </c>
      <c r="K147">
        <v>-5.57953950811102E-2</v>
      </c>
      <c r="L147">
        <v>-7.3590333716916003</v>
      </c>
      <c r="M147" s="10">
        <v>165.541354228552</v>
      </c>
      <c r="N147">
        <f t="shared" si="12"/>
        <v>8.0007332914311835E-2</v>
      </c>
    </row>
    <row r="148" spans="1:14" x14ac:dyDescent="0.2">
      <c r="A148" s="27">
        <v>11</v>
      </c>
      <c r="B148" s="6">
        <f t="shared" si="13"/>
        <v>2016</v>
      </c>
      <c r="C148" t="s">
        <v>7</v>
      </c>
      <c r="D148">
        <v>-0.92352128732406702</v>
      </c>
      <c r="E148">
        <v>1.95595563414242</v>
      </c>
      <c r="F148">
        <v>-9.3426920314665907</v>
      </c>
      <c r="G148">
        <v>-0.32778139232270698</v>
      </c>
      <c r="H148">
        <v>24.3989296006587</v>
      </c>
      <c r="I148">
        <v>1.4970494340717699</v>
      </c>
      <c r="J148">
        <v>-0.456445767538182</v>
      </c>
      <c r="K148">
        <v>0.12019397298233447</v>
      </c>
      <c r="L148">
        <v>-6.8066743383199002</v>
      </c>
      <c r="M148" s="10">
        <v>180.99600186258601</v>
      </c>
      <c r="N148">
        <f t="shared" si="12"/>
        <v>9.3358228861030179E-2</v>
      </c>
    </row>
    <row r="149" spans="1:14" ht="16" thickBot="1" x14ac:dyDescent="0.25">
      <c r="A149" s="28">
        <v>11</v>
      </c>
      <c r="B149" s="7">
        <f t="shared" si="13"/>
        <v>2017</v>
      </c>
      <c r="C149" s="8" t="s">
        <v>7</v>
      </c>
      <c r="D149" s="8">
        <v>-0.24867365282588599</v>
      </c>
      <c r="E149" s="8">
        <v>2.2587204629480802</v>
      </c>
      <c r="F149" s="8">
        <v>-10.3975915688206</v>
      </c>
      <c r="G149" s="8">
        <v>-0.33363695510735297</v>
      </c>
      <c r="H149" s="8">
        <v>27.471181556195901</v>
      </c>
      <c r="I149" s="8">
        <v>3.14148896474522</v>
      </c>
      <c r="J149" s="8">
        <v>-0.80882733626714998</v>
      </c>
      <c r="K149" s="8">
        <v>0.37854050711193632</v>
      </c>
      <c r="L149" s="8">
        <v>-1.9666283084004601</v>
      </c>
      <c r="M149" s="11">
        <v>180.03660945101799</v>
      </c>
      <c r="N149">
        <f t="shared" si="12"/>
        <v>-5.3006276475454639E-3</v>
      </c>
    </row>
    <row r="150" spans="1:14" x14ac:dyDescent="0.2">
      <c r="A150">
        <v>12</v>
      </c>
      <c r="B150" s="6">
        <v>2005</v>
      </c>
      <c r="C150" t="s">
        <v>8</v>
      </c>
      <c r="D150">
        <v>-1.0627158348547101</v>
      </c>
      <c r="E150">
        <v>0.40975609756097597</v>
      </c>
      <c r="F150">
        <v>2.6992341130200801</v>
      </c>
      <c r="G150">
        <v>2.6936087816962502</v>
      </c>
      <c r="H150">
        <v>7.8197010811043404</v>
      </c>
      <c r="I150">
        <v>2.4761023743447401</v>
      </c>
      <c r="J150">
        <v>-0.97719283017230096</v>
      </c>
      <c r="K150">
        <v>0.2</v>
      </c>
      <c r="L150">
        <v>0.16052631578946799</v>
      </c>
      <c r="M150" s="10">
        <v>59.514256673620999</v>
      </c>
      <c r="N150">
        <v>0.05</v>
      </c>
    </row>
    <row r="151" spans="1:14" x14ac:dyDescent="0.2">
      <c r="A151">
        <v>12</v>
      </c>
      <c r="B151" s="6">
        <v>2006</v>
      </c>
      <c r="C151" t="s">
        <v>8</v>
      </c>
      <c r="D151">
        <v>-0.33443129577898301</v>
      </c>
      <c r="E151">
        <v>0.75121951219512195</v>
      </c>
      <c r="F151">
        <v>-0.218898778720756</v>
      </c>
      <c r="G151">
        <v>4.2806355624528303</v>
      </c>
      <c r="H151">
        <v>8.5730283843735098</v>
      </c>
      <c r="I151">
        <v>4.7353273717751003</v>
      </c>
      <c r="J151">
        <v>-1.0624321861030299</v>
      </c>
      <c r="K151">
        <v>0.46435067297199262</v>
      </c>
      <c r="L151">
        <v>1.9131578947368399</v>
      </c>
      <c r="M151" s="10">
        <v>80.073423206547801</v>
      </c>
      <c r="N151">
        <f t="shared" si="12"/>
        <v>0.3454494382022486</v>
      </c>
    </row>
    <row r="152" spans="1:14" x14ac:dyDescent="0.2">
      <c r="A152">
        <v>12</v>
      </c>
      <c r="B152" s="6">
        <f>B151+1</f>
        <v>2007</v>
      </c>
      <c r="C152" t="s">
        <v>8</v>
      </c>
      <c r="D152">
        <v>1.0349075072037099E-2</v>
      </c>
      <c r="E152">
        <v>1.4926829268292601</v>
      </c>
      <c r="F152">
        <v>-5.3218795280480098</v>
      </c>
      <c r="G152">
        <v>3.8952404003587802</v>
      </c>
      <c r="H152">
        <v>9.21566093810568</v>
      </c>
      <c r="I152">
        <v>3.3524514338575302</v>
      </c>
      <c r="J152">
        <v>-6.7162883555400996E-2</v>
      </c>
      <c r="K152">
        <v>0.27556825239099769</v>
      </c>
      <c r="L152">
        <v>2.2802631578947299</v>
      </c>
      <c r="M152" s="10">
        <v>90.488418124431504</v>
      </c>
      <c r="N152">
        <f t="shared" si="12"/>
        <v>0.13006806129692294</v>
      </c>
    </row>
    <row r="153" spans="1:14" x14ac:dyDescent="0.2">
      <c r="A153">
        <v>12</v>
      </c>
      <c r="B153" s="6">
        <f t="shared" ref="B153:B162" si="14">B152+1</f>
        <v>2008</v>
      </c>
      <c r="C153" t="s">
        <v>8</v>
      </c>
      <c r="D153">
        <v>-0.71019840309702398</v>
      </c>
      <c r="E153">
        <v>1.82439024390243</v>
      </c>
      <c r="F153">
        <v>-2.0140757607120601</v>
      </c>
      <c r="G153">
        <v>0.99605620969004904</v>
      </c>
      <c r="H153">
        <v>9.87552224662962</v>
      </c>
      <c r="I153">
        <v>1.1296124987151701</v>
      </c>
      <c r="J153">
        <v>-1.6209148908467499</v>
      </c>
      <c r="K153">
        <v>-0.42498247254030919</v>
      </c>
      <c r="L153">
        <v>4.8223684210526301</v>
      </c>
      <c r="M153" s="10">
        <v>104.92898411169899</v>
      </c>
      <c r="N153">
        <f t="shared" si="12"/>
        <v>0.15958468814661031</v>
      </c>
    </row>
    <row r="154" spans="1:14" x14ac:dyDescent="0.2">
      <c r="A154">
        <v>12</v>
      </c>
      <c r="B154" s="6">
        <f t="shared" si="14"/>
        <v>2009</v>
      </c>
      <c r="C154" t="s">
        <v>8</v>
      </c>
      <c r="D154">
        <v>-1.9804621340430599</v>
      </c>
      <c r="E154">
        <v>1.41463414634146</v>
      </c>
      <c r="F154">
        <v>4.8830469882012002</v>
      </c>
      <c r="G154">
        <v>0.16566766803821401</v>
      </c>
      <c r="H154">
        <v>12.6454752982728</v>
      </c>
      <c r="I154">
        <v>-2.1005242059821101</v>
      </c>
      <c r="J154">
        <v>-2.9729395425545699</v>
      </c>
      <c r="K154">
        <v>0.15298381087854662</v>
      </c>
      <c r="L154">
        <v>0.46052631578946901</v>
      </c>
      <c r="M154" s="10">
        <v>113.190766597121</v>
      </c>
      <c r="N154">
        <f t="shared" si="12"/>
        <v>7.8736895771593263E-2</v>
      </c>
    </row>
    <row r="155" spans="1:14" x14ac:dyDescent="0.2">
      <c r="A155">
        <v>12</v>
      </c>
      <c r="B155" s="6">
        <f t="shared" si="14"/>
        <v>2010</v>
      </c>
      <c r="C155" t="s">
        <v>8</v>
      </c>
      <c r="D155">
        <v>-1.03519345401755</v>
      </c>
      <c r="E155">
        <v>0.60487804878048801</v>
      </c>
      <c r="F155">
        <v>5.2634030221486201</v>
      </c>
      <c r="G155">
        <v>0.32253655480729598</v>
      </c>
      <c r="H155">
        <v>11.6767885601068</v>
      </c>
      <c r="I155">
        <v>5.0144927536231796</v>
      </c>
      <c r="J155">
        <v>-2.4597673712078398</v>
      </c>
      <c r="K155">
        <v>3.5690156566696052E-2</v>
      </c>
      <c r="L155">
        <v>-3.8815789473684101</v>
      </c>
      <c r="M155" s="10">
        <v>163.196116193227</v>
      </c>
      <c r="N155">
        <f t="shared" si="12"/>
        <v>0.44177940568323604</v>
      </c>
    </row>
    <row r="156" spans="1:14" x14ac:dyDescent="0.2">
      <c r="A156">
        <v>12</v>
      </c>
      <c r="B156" s="6">
        <f t="shared" si="14"/>
        <v>2011</v>
      </c>
      <c r="C156" t="s">
        <v>8</v>
      </c>
      <c r="D156">
        <v>-0.34193739964366598</v>
      </c>
      <c r="E156">
        <v>1.52195121951219</v>
      </c>
      <c r="F156">
        <v>2.1936452080314601</v>
      </c>
      <c r="G156">
        <v>-0.18803479647479099</v>
      </c>
      <c r="H156">
        <v>14.9282853081793</v>
      </c>
      <c r="I156">
        <v>3.7748997841504801</v>
      </c>
      <c r="J156">
        <v>-1.7137928041317601</v>
      </c>
      <c r="K156">
        <v>-0.11319416869930221</v>
      </c>
      <c r="L156">
        <v>-6.5973684210526304</v>
      </c>
      <c r="M156" s="10">
        <v>173.540897662226</v>
      </c>
      <c r="N156">
        <f t="shared" si="12"/>
        <v>6.3388649866830127E-2</v>
      </c>
    </row>
    <row r="157" spans="1:14" x14ac:dyDescent="0.2">
      <c r="A157">
        <v>12</v>
      </c>
      <c r="B157" s="6">
        <f t="shared" si="14"/>
        <v>2012</v>
      </c>
      <c r="C157" t="s">
        <v>8</v>
      </c>
      <c r="D157">
        <v>-0.22865297054747799</v>
      </c>
      <c r="E157">
        <v>1.58048780487804</v>
      </c>
      <c r="F157">
        <v>-3.3486855723452602</v>
      </c>
      <c r="G157">
        <v>-0.119566610191208</v>
      </c>
      <c r="H157">
        <v>18.717319205754301</v>
      </c>
      <c r="I157">
        <v>1.1133723918182701</v>
      </c>
      <c r="J157">
        <v>-1.2664163881775901</v>
      </c>
      <c r="K157">
        <v>0.20670355326702206</v>
      </c>
      <c r="L157">
        <v>-5.1131578947368403</v>
      </c>
      <c r="M157" s="10">
        <v>222.61006793986999</v>
      </c>
      <c r="N157">
        <f t="shared" si="12"/>
        <v>0.28275277435265167</v>
      </c>
    </row>
    <row r="158" spans="1:14" x14ac:dyDescent="0.2">
      <c r="A158">
        <v>12</v>
      </c>
      <c r="B158" s="6">
        <f t="shared" si="14"/>
        <v>2013</v>
      </c>
      <c r="C158" t="s">
        <v>8</v>
      </c>
      <c r="D158">
        <v>-4.9930712887403098E-2</v>
      </c>
      <c r="E158">
        <v>1.45365853658536</v>
      </c>
      <c r="F158">
        <v>-5.5273235354999004</v>
      </c>
      <c r="G158">
        <v>-8.38874097697761E-2</v>
      </c>
      <c r="H158">
        <v>12.1471335659215</v>
      </c>
      <c r="I158">
        <v>2.4115530887038701</v>
      </c>
      <c r="J158">
        <v>-1.7037237967102099</v>
      </c>
      <c r="K158">
        <v>0.22120328650940158</v>
      </c>
      <c r="L158">
        <v>-2.5552631578947298</v>
      </c>
      <c r="M158" s="10">
        <v>184.12641095597201</v>
      </c>
      <c r="N158">
        <f t="shared" si="12"/>
        <v>-0.17287473715830748</v>
      </c>
    </row>
    <row r="159" spans="1:14" x14ac:dyDescent="0.2">
      <c r="A159">
        <v>12</v>
      </c>
      <c r="B159" s="6">
        <f t="shared" si="14"/>
        <v>2014</v>
      </c>
      <c r="C159" t="s">
        <v>8</v>
      </c>
      <c r="D159">
        <v>1.15038602819872E-2</v>
      </c>
      <c r="E159">
        <v>1.3170731707317</v>
      </c>
      <c r="F159">
        <v>-7.4027116539018802</v>
      </c>
      <c r="G159">
        <v>-0.36304227116761401</v>
      </c>
      <c r="H159">
        <v>13.084377826592499</v>
      </c>
      <c r="I159">
        <v>2.0466646109569302</v>
      </c>
      <c r="J159">
        <v>-0.923549325116096</v>
      </c>
      <c r="K159">
        <v>-6.9537286222756789E-2</v>
      </c>
      <c r="L159">
        <v>-8.4092105263157801</v>
      </c>
      <c r="M159" s="10">
        <v>155.927352484887</v>
      </c>
      <c r="N159">
        <f t="shared" si="12"/>
        <v>-0.15315053568185788</v>
      </c>
    </row>
    <row r="160" spans="1:14" x14ac:dyDescent="0.2">
      <c r="A160">
        <v>12</v>
      </c>
      <c r="B160" s="6">
        <f t="shared" si="14"/>
        <v>2015</v>
      </c>
      <c r="C160" t="s">
        <v>8</v>
      </c>
      <c r="D160">
        <v>6.57677671953038E-3</v>
      </c>
      <c r="E160">
        <v>1.30731707317073</v>
      </c>
      <c r="F160">
        <v>-8.9655350859035394</v>
      </c>
      <c r="G160">
        <v>-0.52499394905818497</v>
      </c>
      <c r="H160">
        <v>18.543739501227499</v>
      </c>
      <c r="I160">
        <v>1.80367972042347</v>
      </c>
      <c r="J160">
        <v>-0.92667418948830205</v>
      </c>
      <c r="K160">
        <v>-2.2788766560924878E-2</v>
      </c>
      <c r="L160">
        <v>-5.7763157894736796</v>
      </c>
      <c r="M160" s="10">
        <v>164.299470389985</v>
      </c>
      <c r="N160">
        <f t="shared" si="12"/>
        <v>5.3692426451667385E-2</v>
      </c>
    </row>
    <row r="161" spans="1:14" x14ac:dyDescent="0.2">
      <c r="A161">
        <v>12</v>
      </c>
      <c r="B161" s="6">
        <f t="shared" si="14"/>
        <v>2016</v>
      </c>
      <c r="C161" t="s">
        <v>8</v>
      </c>
      <c r="D161">
        <v>0.20335217649517201</v>
      </c>
      <c r="E161">
        <v>1.00487804878048</v>
      </c>
      <c r="F161">
        <v>-6.4469054026081496</v>
      </c>
      <c r="G161">
        <v>-0.85477739652889095</v>
      </c>
      <c r="H161">
        <v>24.0246371193521</v>
      </c>
      <c r="I161">
        <v>1.8312262308562</v>
      </c>
      <c r="J161">
        <v>-0.59630658391562796</v>
      </c>
      <c r="K161">
        <v>-2.3630504833516142E-3</v>
      </c>
      <c r="L161">
        <v>-6.1631578947368402</v>
      </c>
      <c r="M161" s="10">
        <v>190.85687155619701</v>
      </c>
      <c r="N161">
        <f t="shared" si="12"/>
        <v>0.16164021164021247</v>
      </c>
    </row>
    <row r="162" spans="1:14" ht="16" thickBot="1" x14ac:dyDescent="0.25">
      <c r="A162">
        <v>12</v>
      </c>
      <c r="B162" s="6">
        <f t="shared" si="14"/>
        <v>2017</v>
      </c>
      <c r="C162" t="s">
        <v>8</v>
      </c>
      <c r="D162">
        <v>0.38499989002045498</v>
      </c>
      <c r="E162">
        <v>1.45365853658536</v>
      </c>
      <c r="F162">
        <v>-6.4903746636306998</v>
      </c>
      <c r="G162">
        <v>-0.81610831897717295</v>
      </c>
      <c r="H162">
        <v>27.915751389068301</v>
      </c>
      <c r="I162">
        <v>2.6035563778394502</v>
      </c>
      <c r="J162">
        <v>-1.13274163447767</v>
      </c>
      <c r="K162">
        <v>0.19918173987941201</v>
      </c>
      <c r="L162">
        <v>-3.1315789473684199</v>
      </c>
      <c r="M162" s="10">
        <v>180.843096346225</v>
      </c>
      <c r="N162">
        <f t="shared" si="12"/>
        <v>-5.2467459664000127E-2</v>
      </c>
    </row>
    <row r="163" spans="1:14" x14ac:dyDescent="0.2">
      <c r="A163" s="26">
        <v>13</v>
      </c>
      <c r="B163" s="4">
        <v>2005</v>
      </c>
      <c r="C163" s="5" t="s">
        <v>9</v>
      </c>
      <c r="D163" s="5">
        <v>0.88843837576769302</v>
      </c>
      <c r="E163" s="5">
        <v>2.7153735991452801</v>
      </c>
      <c r="F163" s="5">
        <v>10.127857268344</v>
      </c>
      <c r="G163" s="5">
        <v>7.3131931206622403</v>
      </c>
      <c r="H163" s="5">
        <v>2.31394027712598</v>
      </c>
      <c r="I163" s="5">
        <v>2.31394027712598</v>
      </c>
      <c r="J163" s="5">
        <v>-4.8517184035476904</v>
      </c>
      <c r="K163" s="5">
        <v>0.2</v>
      </c>
      <c r="L163" s="5">
        <v>-0.134341577910145</v>
      </c>
      <c r="M163" s="9">
        <v>59.514256673620999</v>
      </c>
      <c r="N163">
        <v>0.05</v>
      </c>
    </row>
    <row r="164" spans="1:14" x14ac:dyDescent="0.2">
      <c r="A164" s="27">
        <v>13</v>
      </c>
      <c r="B164" s="6">
        <f>B163+1</f>
        <v>2006</v>
      </c>
      <c r="C164" t="s">
        <v>9</v>
      </c>
      <c r="D164">
        <v>1.2370162780990901</v>
      </c>
      <c r="E164">
        <v>3.0839376236048199</v>
      </c>
      <c r="F164">
        <v>13.884420933455599</v>
      </c>
      <c r="G164">
        <v>10.0365978241408</v>
      </c>
      <c r="H164">
        <v>4.9553189912811497</v>
      </c>
      <c r="I164">
        <v>4.9553189912811497</v>
      </c>
      <c r="J164">
        <v>-3.6419068736142002</v>
      </c>
      <c r="K164">
        <v>0.43883987270613933</v>
      </c>
      <c r="L164">
        <v>1.11000642146985</v>
      </c>
      <c r="M164" s="10">
        <v>80.073423206547801</v>
      </c>
      <c r="N164">
        <f t="shared" si="12"/>
        <v>0.3454494382022486</v>
      </c>
    </row>
    <row r="165" spans="1:14" x14ac:dyDescent="0.2">
      <c r="A165" s="27">
        <v>13</v>
      </c>
      <c r="B165" s="6">
        <f t="shared" ref="B165:B176" si="15">B164+1</f>
        <v>2007</v>
      </c>
      <c r="C165" t="s">
        <v>9</v>
      </c>
      <c r="D165">
        <v>1.4442788146204699</v>
      </c>
      <c r="E165">
        <v>3.3170648541747099</v>
      </c>
      <c r="F165">
        <v>14.1109527806515</v>
      </c>
      <c r="G165">
        <v>9.6523996587713707</v>
      </c>
      <c r="H165">
        <v>1.50254402647763</v>
      </c>
      <c r="I165">
        <v>1.50254402647763</v>
      </c>
      <c r="J165">
        <v>-4.1075388026607698</v>
      </c>
      <c r="K165">
        <v>0.27000503271262821</v>
      </c>
      <c r="L165">
        <v>2.3313699873784901</v>
      </c>
      <c r="M165" s="10">
        <v>90.488418124431504</v>
      </c>
      <c r="N165">
        <f t="shared" si="12"/>
        <v>0.13006806129692294</v>
      </c>
    </row>
    <row r="166" spans="1:14" x14ac:dyDescent="0.2">
      <c r="A166" s="27">
        <v>13</v>
      </c>
      <c r="B166" s="6">
        <f t="shared" si="15"/>
        <v>2008</v>
      </c>
      <c r="C166" t="s">
        <v>9</v>
      </c>
      <c r="D166">
        <v>1.05336592928268</v>
      </c>
      <c r="E166">
        <v>3.4653906480871002</v>
      </c>
      <c r="F166">
        <v>20.527923637002399</v>
      </c>
      <c r="G166">
        <v>7.3872313087803096</v>
      </c>
      <c r="H166">
        <v>-1.5670585620075601</v>
      </c>
      <c r="I166">
        <v>-1.5670585620075601</v>
      </c>
      <c r="J166">
        <v>-5.9700665188470001</v>
      </c>
      <c r="K166">
        <v>-0.71776876310053839</v>
      </c>
      <c r="L166">
        <v>1.49967892650738</v>
      </c>
      <c r="M166" s="10">
        <v>104.92898411169899</v>
      </c>
      <c r="N166">
        <f t="shared" si="12"/>
        <v>0.15958468814661031</v>
      </c>
    </row>
    <row r="167" spans="1:14" x14ac:dyDescent="0.2">
      <c r="A167" s="27">
        <v>13</v>
      </c>
      <c r="B167" s="6">
        <f t="shared" si="15"/>
        <v>2009</v>
      </c>
      <c r="C167" t="s">
        <v>9</v>
      </c>
      <c r="D167">
        <v>0.14984198914793301</v>
      </c>
      <c r="E167">
        <v>1.88331704212225</v>
      </c>
      <c r="F167">
        <v>23.424525171289599</v>
      </c>
      <c r="G167">
        <v>7.5823319396320104</v>
      </c>
      <c r="H167">
        <v>-1.9040062242201099</v>
      </c>
      <c r="I167">
        <v>-1.9040062242201099</v>
      </c>
      <c r="J167">
        <v>-7.4792128603104402</v>
      </c>
      <c r="K167">
        <v>0.33431865208394917</v>
      </c>
      <c r="L167">
        <v>1.6783729323974199</v>
      </c>
      <c r="M167" s="10">
        <v>113.190766597121</v>
      </c>
      <c r="N167">
        <f t="shared" si="12"/>
        <v>7.8736895771593263E-2</v>
      </c>
    </row>
    <row r="168" spans="1:14" x14ac:dyDescent="0.2">
      <c r="A168" s="27">
        <v>13</v>
      </c>
      <c r="B168" s="6">
        <f t="shared" si="15"/>
        <v>2010</v>
      </c>
      <c r="C168" t="s">
        <v>9</v>
      </c>
      <c r="D168">
        <v>-0.95068868880806001</v>
      </c>
      <c r="E168">
        <v>2.0316428360346399</v>
      </c>
      <c r="F168">
        <v>31.312342618438699</v>
      </c>
      <c r="G168">
        <v>10.7809817695442</v>
      </c>
      <c r="H168">
        <v>-8.6082322720873297</v>
      </c>
      <c r="I168">
        <v>-8.6082322720873297</v>
      </c>
      <c r="J168">
        <v>-6.8847006651884897</v>
      </c>
      <c r="K168">
        <v>-0.2414986708019502</v>
      </c>
      <c r="L168">
        <v>3.0096100617789601</v>
      </c>
      <c r="M168" s="10">
        <v>163.196116193227</v>
      </c>
      <c r="N168">
        <f t="shared" si="12"/>
        <v>0.44177940568323604</v>
      </c>
    </row>
    <row r="169" spans="1:14" x14ac:dyDescent="0.2">
      <c r="A169" s="27">
        <v>13</v>
      </c>
      <c r="B169" s="6">
        <f t="shared" si="15"/>
        <v>2011</v>
      </c>
      <c r="C169" t="s">
        <v>9</v>
      </c>
      <c r="D169">
        <v>-1.6368731739311899</v>
      </c>
      <c r="E169">
        <v>0.65906662726466703</v>
      </c>
      <c r="F169">
        <v>27.113451365437498</v>
      </c>
      <c r="G169">
        <v>47.768059314804397</v>
      </c>
      <c r="H169">
        <v>-9.5177093881986696</v>
      </c>
      <c r="I169">
        <v>-9.5177093881986696</v>
      </c>
      <c r="J169">
        <v>23.7929600886917</v>
      </c>
      <c r="K169">
        <v>-0.6221021503413533</v>
      </c>
      <c r="L169">
        <v>4.4935010296494697</v>
      </c>
      <c r="M169" s="10">
        <v>173.540897662226</v>
      </c>
      <c r="N169">
        <f t="shared" si="12"/>
        <v>6.3388649866830127E-2</v>
      </c>
    </row>
    <row r="170" spans="1:14" x14ac:dyDescent="0.2">
      <c r="A170" s="27">
        <v>13</v>
      </c>
      <c r="B170" s="6">
        <f t="shared" si="15"/>
        <v>2012</v>
      </c>
      <c r="C170" t="s">
        <v>9</v>
      </c>
      <c r="D170">
        <v>-2.3464909665493998</v>
      </c>
      <c r="E170">
        <v>-1.4917596781159701</v>
      </c>
      <c r="F170">
        <v>20.312127896308699</v>
      </c>
      <c r="G170">
        <v>7.1781234531495297</v>
      </c>
      <c r="H170">
        <v>-6.4300392718650397</v>
      </c>
      <c r="I170">
        <v>-6.4300392718650397</v>
      </c>
      <c r="J170">
        <v>-9.1879157427937894</v>
      </c>
      <c r="K170">
        <v>0.50932277074678334</v>
      </c>
      <c r="L170">
        <v>0.49407674763623499</v>
      </c>
      <c r="M170" s="10">
        <v>222.61006793986999</v>
      </c>
      <c r="N170">
        <f t="shared" si="12"/>
        <v>0.28275277435265167</v>
      </c>
    </row>
    <row r="171" spans="1:14" x14ac:dyDescent="0.2">
      <c r="A171" s="27">
        <v>13</v>
      </c>
      <c r="B171" s="6">
        <f t="shared" si="15"/>
        <v>2013</v>
      </c>
      <c r="C171" t="s">
        <v>9</v>
      </c>
      <c r="D171">
        <v>-2.09331584282392</v>
      </c>
      <c r="E171">
        <v>-2.12240003637107</v>
      </c>
      <c r="F171">
        <v>7.5887680805793698</v>
      </c>
      <c r="G171">
        <v>8.40475613737609</v>
      </c>
      <c r="H171">
        <v>-1.7641588658087799</v>
      </c>
      <c r="I171">
        <v>-1.7641588658087799</v>
      </c>
      <c r="J171">
        <v>-7.3711197339246404</v>
      </c>
      <c r="K171">
        <v>0.40984446009090014</v>
      </c>
      <c r="L171">
        <v>4.1843404707601604</v>
      </c>
      <c r="M171" s="10">
        <v>184.12641095597201</v>
      </c>
      <c r="N171">
        <f t="shared" si="12"/>
        <v>-0.17287473715830748</v>
      </c>
    </row>
    <row r="172" spans="1:14" x14ac:dyDescent="0.2">
      <c r="A172" s="27">
        <v>13</v>
      </c>
      <c r="B172" s="6">
        <f t="shared" si="15"/>
        <v>2014</v>
      </c>
      <c r="C172" t="s">
        <v>9</v>
      </c>
      <c r="D172">
        <v>-1.69214715878599</v>
      </c>
      <c r="E172">
        <v>-1.3682912413902799</v>
      </c>
      <c r="F172">
        <v>0.77456128364792598</v>
      </c>
      <c r="G172">
        <v>7.6073448410232896</v>
      </c>
      <c r="H172">
        <v>-0.21786005384444701</v>
      </c>
      <c r="I172">
        <v>-0.21786005384444701</v>
      </c>
      <c r="J172">
        <v>-9.4623059866962294</v>
      </c>
      <c r="K172">
        <v>-0.34418414600926239</v>
      </c>
      <c r="L172">
        <v>-2.72772967826221</v>
      </c>
      <c r="M172" s="10">
        <v>155.927352484887</v>
      </c>
      <c r="N172">
        <f t="shared" si="12"/>
        <v>-0.15315053568185788</v>
      </c>
    </row>
    <row r="173" spans="1:14" x14ac:dyDescent="0.2">
      <c r="A173" s="27">
        <v>13</v>
      </c>
      <c r="B173" s="6">
        <f t="shared" si="15"/>
        <v>2015</v>
      </c>
      <c r="C173" t="s">
        <v>9</v>
      </c>
      <c r="D173">
        <v>-1.6608431220559201</v>
      </c>
      <c r="E173">
        <v>0.26462230910868101</v>
      </c>
      <c r="F173">
        <v>-0.194909133498612</v>
      </c>
      <c r="G173">
        <v>7.9195058503859999</v>
      </c>
      <c r="H173">
        <v>-0.31664484896386402</v>
      </c>
      <c r="I173">
        <v>-0.31664484896386402</v>
      </c>
      <c r="J173">
        <v>-6.05321507760533</v>
      </c>
      <c r="K173">
        <v>-0.31533402561439861</v>
      </c>
      <c r="L173">
        <v>-1.6590199508425301</v>
      </c>
      <c r="M173" s="10">
        <v>164.299470389985</v>
      </c>
      <c r="N173">
        <f t="shared" si="12"/>
        <v>5.3692426451667385E-2</v>
      </c>
    </row>
    <row r="174" spans="1:14" x14ac:dyDescent="0.2">
      <c r="A174" s="27">
        <v>13</v>
      </c>
      <c r="B174" s="6">
        <f t="shared" si="15"/>
        <v>2016</v>
      </c>
      <c r="C174" t="s">
        <v>9</v>
      </c>
      <c r="D174">
        <v>-1.0588515890525301</v>
      </c>
      <c r="E174">
        <v>-0.54206542247277401</v>
      </c>
      <c r="F174">
        <v>-3.20423978605867</v>
      </c>
      <c r="G174">
        <v>6.5688091752588198</v>
      </c>
      <c r="H174">
        <v>0.93400350729863701</v>
      </c>
      <c r="I174">
        <v>0.93400350729863701</v>
      </c>
      <c r="J174">
        <v>-8.5227272727272805</v>
      </c>
      <c r="K174">
        <v>0.22467138523760699</v>
      </c>
      <c r="L174">
        <v>-0.65301919798055796</v>
      </c>
      <c r="M174" s="10">
        <v>190.85687155619701</v>
      </c>
      <c r="N174">
        <f t="shared" si="12"/>
        <v>0.16164021164021247</v>
      </c>
    </row>
    <row r="175" spans="1:14" x14ac:dyDescent="0.2">
      <c r="A175" s="27">
        <v>13</v>
      </c>
      <c r="B175" s="6">
        <f t="shared" si="15"/>
        <v>2017</v>
      </c>
      <c r="C175" t="s">
        <v>9</v>
      </c>
      <c r="D175">
        <v>-0.78391270645757505</v>
      </c>
      <c r="E175">
        <v>-0.13360687413334499</v>
      </c>
      <c r="F175">
        <v>-3.20423978605867</v>
      </c>
      <c r="G175">
        <v>6.5067771798085197</v>
      </c>
      <c r="H175">
        <v>1.2777558228567101</v>
      </c>
      <c r="I175">
        <v>1.2777558228567101</v>
      </c>
      <c r="J175">
        <v>-5.7206208425720604</v>
      </c>
      <c r="K175">
        <v>0</v>
      </c>
      <c r="L175">
        <v>2.11002856446934</v>
      </c>
      <c r="M175" s="10">
        <v>180.843096346225</v>
      </c>
      <c r="N175">
        <f t="shared" si="12"/>
        <v>-5.2467459664000127E-2</v>
      </c>
    </row>
    <row r="176" spans="1:14" ht="16" thickBot="1" x14ac:dyDescent="0.25">
      <c r="A176" s="28">
        <v>13</v>
      </c>
      <c r="B176" s="7">
        <f t="shared" si="15"/>
        <v>2018</v>
      </c>
      <c r="C176" s="8" t="s">
        <v>9</v>
      </c>
      <c r="D176" s="8">
        <v>-0.78391270645757505</v>
      </c>
      <c r="E176" s="8">
        <v>-0.13360687413334499</v>
      </c>
      <c r="F176" s="8">
        <v>-3.20423978605867</v>
      </c>
      <c r="G176" s="8">
        <v>6.5067771798085197</v>
      </c>
      <c r="H176" s="8">
        <v>1.2777558228567101</v>
      </c>
      <c r="I176" s="8">
        <v>1.2777558228567101</v>
      </c>
      <c r="J176" s="8">
        <v>-5.7206208425720604</v>
      </c>
      <c r="K176" s="8">
        <v>0</v>
      </c>
      <c r="L176" s="8">
        <v>2.11002856446934</v>
      </c>
      <c r="M176" s="11">
        <v>180.843096346225</v>
      </c>
      <c r="N176">
        <f t="shared" si="12"/>
        <v>0</v>
      </c>
    </row>
    <row r="177" spans="1:14" x14ac:dyDescent="0.2">
      <c r="A177">
        <v>14</v>
      </c>
      <c r="B177" s="6">
        <v>2004</v>
      </c>
      <c r="C177" t="s">
        <v>16</v>
      </c>
      <c r="D177">
        <v>0.80318389379697597</v>
      </c>
      <c r="E177">
        <v>1.04772727272727</v>
      </c>
      <c r="F177">
        <v>15.9512777817997</v>
      </c>
      <c r="G177">
        <v>4.5578370342841197</v>
      </c>
      <c r="H177">
        <v>3.4057891623025398</v>
      </c>
      <c r="I177">
        <v>1.8564393533882799</v>
      </c>
      <c r="J177">
        <v>0.24756843953124599</v>
      </c>
      <c r="K177">
        <v>0.1</v>
      </c>
      <c r="L177">
        <v>7.2989475952731402</v>
      </c>
      <c r="M177" s="10">
        <v>53.285320708286399</v>
      </c>
      <c r="N177">
        <v>0.05</v>
      </c>
    </row>
    <row r="178" spans="1:14" x14ac:dyDescent="0.2">
      <c r="A178">
        <v>14</v>
      </c>
      <c r="B178" s="6">
        <f>B177+1</f>
        <v>2005</v>
      </c>
      <c r="C178" t="s">
        <v>16</v>
      </c>
      <c r="D178">
        <v>0.93381926028214002</v>
      </c>
      <c r="E178">
        <v>1.39171554252199</v>
      </c>
      <c r="F178">
        <v>21.5270035473829</v>
      </c>
      <c r="G178">
        <v>4.67425439003995</v>
      </c>
      <c r="H178">
        <v>3.2302736814426898</v>
      </c>
      <c r="I178">
        <v>4.3409699175677101</v>
      </c>
      <c r="J178">
        <v>0.46306400341604798</v>
      </c>
      <c r="K178">
        <v>0.16736901250175507</v>
      </c>
      <c r="L178">
        <v>1.88103875579182</v>
      </c>
      <c r="M178" s="10">
        <v>59.514256673620999</v>
      </c>
      <c r="N178">
        <f t="shared" si="12"/>
        <v>0.11689778502854997</v>
      </c>
    </row>
    <row r="179" spans="1:14" x14ac:dyDescent="0.2">
      <c r="A179">
        <v>14</v>
      </c>
      <c r="B179" s="6">
        <f t="shared" ref="B179:B190" si="16">B178+1</f>
        <v>2006</v>
      </c>
      <c r="C179" t="s">
        <v>16</v>
      </c>
      <c r="D179">
        <v>0.99009838843818199</v>
      </c>
      <c r="E179">
        <v>1.21392961876832</v>
      </c>
      <c r="F179">
        <v>26.426735683776101</v>
      </c>
      <c r="G179">
        <v>5.6238037721824696</v>
      </c>
      <c r="H179">
        <v>4.5535420820825196</v>
      </c>
      <c r="I179">
        <v>4.3409699175677101</v>
      </c>
      <c r="J179">
        <v>0.258955259287379</v>
      </c>
      <c r="K179">
        <v>0.11933698333433695</v>
      </c>
      <c r="L179">
        <v>0.69950791997412398</v>
      </c>
      <c r="M179" s="10">
        <v>80.073423206547801</v>
      </c>
      <c r="N179">
        <f t="shared" si="12"/>
        <v>0.3454494382022486</v>
      </c>
    </row>
    <row r="180" spans="1:14" x14ac:dyDescent="0.2">
      <c r="A180">
        <v>14</v>
      </c>
      <c r="B180" s="6">
        <f t="shared" si="16"/>
        <v>2007</v>
      </c>
      <c r="C180" t="s">
        <v>16</v>
      </c>
      <c r="D180">
        <v>0.91764872032262401</v>
      </c>
      <c r="E180">
        <v>1.46671554252199</v>
      </c>
      <c r="F180">
        <v>29.852313038441999</v>
      </c>
      <c r="G180">
        <v>6.0836198086035402</v>
      </c>
      <c r="H180">
        <v>4.5351359642395401</v>
      </c>
      <c r="I180">
        <v>1.75880526710202</v>
      </c>
      <c r="J180">
        <v>1.03980642406414</v>
      </c>
      <c r="K180">
        <v>0.1774033164019404</v>
      </c>
      <c r="L180">
        <v>3.2282425200244198</v>
      </c>
      <c r="M180" s="10">
        <v>90.488418124431504</v>
      </c>
      <c r="N180">
        <f t="shared" si="12"/>
        <v>0.13006806129692294</v>
      </c>
    </row>
    <row r="181" spans="1:14" x14ac:dyDescent="0.2">
      <c r="A181">
        <v>14</v>
      </c>
      <c r="B181" s="6">
        <f t="shared" si="16"/>
        <v>2008</v>
      </c>
      <c r="C181" t="s">
        <v>16</v>
      </c>
      <c r="D181">
        <v>-1.3010340985767399</v>
      </c>
      <c r="E181">
        <v>2.0365102639296202</v>
      </c>
      <c r="F181">
        <v>31.515420256280301</v>
      </c>
      <c r="G181">
        <v>4.3776828021926901</v>
      </c>
      <c r="H181">
        <v>6.5979358853561703</v>
      </c>
      <c r="I181">
        <v>-0.96724119473289605</v>
      </c>
      <c r="J181">
        <v>-0.28021065616548402</v>
      </c>
      <c r="K181">
        <v>-0.26295366354713234</v>
      </c>
      <c r="L181">
        <v>-17.8712151143996</v>
      </c>
      <c r="M181" s="10">
        <v>104.92898411169899</v>
      </c>
      <c r="N181">
        <f t="shared" si="12"/>
        <v>0.15958468814661031</v>
      </c>
    </row>
    <row r="182" spans="1:14" x14ac:dyDescent="0.2">
      <c r="A182">
        <v>14</v>
      </c>
      <c r="B182" s="6">
        <f t="shared" si="16"/>
        <v>2009</v>
      </c>
      <c r="C182" t="s">
        <v>16</v>
      </c>
      <c r="D182">
        <v>-2.3838247524597098</v>
      </c>
      <c r="E182">
        <v>2.3335777126099702</v>
      </c>
      <c r="F182">
        <v>27.946499674219901</v>
      </c>
      <c r="G182">
        <v>0.29201895382328003</v>
      </c>
      <c r="H182">
        <v>12.551000284856499</v>
      </c>
      <c r="I182">
        <v>-3.11005245691039</v>
      </c>
      <c r="J182">
        <v>-3.2564406699245598</v>
      </c>
      <c r="K182">
        <v>-0.17838340043357048</v>
      </c>
      <c r="L182">
        <v>-13.346323767106</v>
      </c>
      <c r="M182" s="10">
        <v>113.190766597121</v>
      </c>
      <c r="N182">
        <f t="shared" si="12"/>
        <v>7.8736895771593263E-2</v>
      </c>
    </row>
    <row r="183" spans="1:14" x14ac:dyDescent="0.2">
      <c r="A183">
        <v>14</v>
      </c>
      <c r="B183" s="6">
        <f t="shared" si="16"/>
        <v>2010</v>
      </c>
      <c r="C183" t="s">
        <v>16</v>
      </c>
      <c r="D183">
        <v>-1.89927346336717</v>
      </c>
      <c r="E183">
        <v>3.0186950146627498</v>
      </c>
      <c r="F183">
        <v>19.3784840367769</v>
      </c>
      <c r="G183">
        <v>0.41233856731394503</v>
      </c>
      <c r="H183">
        <v>12.6765563029997</v>
      </c>
      <c r="I183">
        <v>1.1151910930307201</v>
      </c>
      <c r="J183">
        <v>-2.5049105660198201</v>
      </c>
      <c r="K183">
        <v>0.18963437617791046</v>
      </c>
      <c r="L183">
        <v>-11.444721813153199</v>
      </c>
      <c r="M183" s="10">
        <v>163.196116193227</v>
      </c>
      <c r="N183">
        <f t="shared" si="12"/>
        <v>0.44177940568323604</v>
      </c>
    </row>
    <row r="184" spans="1:14" x14ac:dyDescent="0.2">
      <c r="A184">
        <v>14</v>
      </c>
      <c r="B184" s="6">
        <f t="shared" si="16"/>
        <v>2011</v>
      </c>
      <c r="C184" t="s">
        <v>16</v>
      </c>
      <c r="D184">
        <v>-1.86657931489007</v>
      </c>
      <c r="E184">
        <v>2.6379032258064501</v>
      </c>
      <c r="F184">
        <v>1.4166003040613999</v>
      </c>
      <c r="G184">
        <v>0.43510173743379699</v>
      </c>
      <c r="H184">
        <v>11.467011416175399</v>
      </c>
      <c r="I184">
        <v>1.2115405202869001</v>
      </c>
      <c r="J184">
        <v>-1.9421169995729901</v>
      </c>
      <c r="K184">
        <v>-3.2191628909096548E-2</v>
      </c>
      <c r="L184">
        <v>-7.8855824144247704</v>
      </c>
      <c r="M184" s="10">
        <v>173.540897662226</v>
      </c>
      <c r="N184">
        <f t="shared" si="12"/>
        <v>6.3388649866830127E-2</v>
      </c>
    </row>
    <row r="185" spans="1:14" x14ac:dyDescent="0.2">
      <c r="A185">
        <v>14</v>
      </c>
      <c r="B185" s="6">
        <f t="shared" si="16"/>
        <v>2012</v>
      </c>
      <c r="C185" t="s">
        <v>16</v>
      </c>
      <c r="D185">
        <v>-1.6103927691559301</v>
      </c>
      <c r="E185">
        <v>2.3024926686217002</v>
      </c>
      <c r="F185">
        <v>-4.4523275175559398</v>
      </c>
      <c r="G185">
        <v>0.32193626312366003</v>
      </c>
      <c r="H185">
        <v>19.798409185529302</v>
      </c>
      <c r="I185">
        <v>1.5699603896798999</v>
      </c>
      <c r="J185">
        <v>-1.28367414717464</v>
      </c>
      <c r="K185">
        <v>0.13926992961204765</v>
      </c>
      <c r="L185">
        <v>-3.5683883481196799</v>
      </c>
      <c r="M185" s="10">
        <v>222.61006793986999</v>
      </c>
      <c r="N185">
        <f t="shared" si="12"/>
        <v>0.28275277435265167</v>
      </c>
    </row>
    <row r="186" spans="1:14" x14ac:dyDescent="0.2">
      <c r="A186">
        <v>14</v>
      </c>
      <c r="B186" s="6">
        <f t="shared" si="16"/>
        <v>2013</v>
      </c>
      <c r="C186" t="s">
        <v>16</v>
      </c>
      <c r="D186">
        <v>-0.97225665730381206</v>
      </c>
      <c r="E186">
        <v>1.90153958944281</v>
      </c>
      <c r="F186">
        <v>-17.071418229204301</v>
      </c>
      <c r="G186">
        <v>0.31218061878657999</v>
      </c>
      <c r="H186">
        <v>21.111159804544499</v>
      </c>
      <c r="I186">
        <v>1.64190129536452</v>
      </c>
      <c r="J186">
        <v>-2.1641599848175699</v>
      </c>
      <c r="K186">
        <v>4.5978332710711278E-2</v>
      </c>
      <c r="L186">
        <v>0.178244315936922</v>
      </c>
      <c r="M186" s="10">
        <v>184.12641095597201</v>
      </c>
      <c r="N186">
        <f t="shared" si="12"/>
        <v>-0.17287473715830748</v>
      </c>
    </row>
    <row r="187" spans="1:14" x14ac:dyDescent="0.2">
      <c r="A187">
        <v>14</v>
      </c>
      <c r="B187" s="6">
        <f t="shared" si="16"/>
        <v>2014</v>
      </c>
      <c r="C187" t="s">
        <v>16</v>
      </c>
      <c r="D187">
        <v>-0.51213771242958095</v>
      </c>
      <c r="E187">
        <v>1.3186217008797601</v>
      </c>
      <c r="F187">
        <v>-15.862774198219</v>
      </c>
      <c r="G187">
        <v>0.368112979652512</v>
      </c>
      <c r="H187">
        <v>21.111159804544499</v>
      </c>
      <c r="I187">
        <v>2.5296006851514798</v>
      </c>
      <c r="J187">
        <v>-1.8254020970726299</v>
      </c>
      <c r="K187">
        <v>4.4506717217505098E-2</v>
      </c>
      <c r="L187">
        <v>9.2239862073919792</v>
      </c>
      <c r="M187" s="10">
        <v>155.927352484887</v>
      </c>
      <c r="N187">
        <f t="shared" si="12"/>
        <v>-0.15315053568185788</v>
      </c>
    </row>
    <row r="188" spans="1:14" x14ac:dyDescent="0.2">
      <c r="A188">
        <v>14</v>
      </c>
      <c r="B188" s="6">
        <f t="shared" si="16"/>
        <v>2015</v>
      </c>
      <c r="C188" t="s">
        <v>16</v>
      </c>
      <c r="D188">
        <v>-0.508112730867607</v>
      </c>
      <c r="E188">
        <v>1.27917888563049</v>
      </c>
      <c r="F188">
        <v>-11.705820603778999</v>
      </c>
      <c r="G188">
        <v>0.39022577348322601</v>
      </c>
      <c r="H188">
        <v>20.641146438197001</v>
      </c>
      <c r="I188">
        <v>1.9437961674338899</v>
      </c>
      <c r="J188">
        <v>-1.26431655358921</v>
      </c>
      <c r="K188">
        <v>-5.4656882085272196E-2</v>
      </c>
      <c r="L188">
        <v>5.6187816529578596</v>
      </c>
      <c r="M188" s="10">
        <v>164.299470389985</v>
      </c>
      <c r="N188">
        <f t="shared" si="12"/>
        <v>5.3692426451667385E-2</v>
      </c>
    </row>
    <row r="189" spans="1:14" x14ac:dyDescent="0.2">
      <c r="A189">
        <v>14</v>
      </c>
      <c r="B189" s="6">
        <f t="shared" si="16"/>
        <v>2016</v>
      </c>
      <c r="C189" t="s">
        <v>16</v>
      </c>
      <c r="D189">
        <v>-9.7070315564831505E-2</v>
      </c>
      <c r="E189">
        <v>1.4403225806451601</v>
      </c>
      <c r="F189">
        <v>-1.9568522406428599</v>
      </c>
      <c r="G189">
        <v>0.213973799126634</v>
      </c>
      <c r="H189">
        <v>20.620110874947901</v>
      </c>
      <c r="I189">
        <v>1.46333369018306</v>
      </c>
      <c r="J189">
        <v>-0.92726668880770102</v>
      </c>
      <c r="K189">
        <v>-0.11563395564953705</v>
      </c>
      <c r="L189">
        <v>-4.1122804496964802</v>
      </c>
      <c r="M189" s="10">
        <v>190.85687155619701</v>
      </c>
      <c r="N189">
        <f t="shared" si="12"/>
        <v>0.16164021164021247</v>
      </c>
    </row>
    <row r="190" spans="1:14" ht="16" thickBot="1" x14ac:dyDescent="0.25">
      <c r="A190">
        <v>14</v>
      </c>
      <c r="B190" s="6">
        <f t="shared" si="16"/>
        <v>2017</v>
      </c>
      <c r="C190" t="s">
        <v>16</v>
      </c>
      <c r="D190">
        <v>5.7785554003796501E-2</v>
      </c>
      <c r="E190">
        <v>2.3247067448680299</v>
      </c>
      <c r="F190">
        <v>1.85640338811265</v>
      </c>
      <c r="G190">
        <v>0.40323329926600199</v>
      </c>
      <c r="H190">
        <v>25.086223897276302</v>
      </c>
      <c r="I190">
        <v>1.36184562680655</v>
      </c>
      <c r="J190">
        <v>-0.67818000664230904</v>
      </c>
      <c r="K190">
        <v>0.13295579675947833</v>
      </c>
      <c r="L190">
        <v>4.1665170072931801E-2</v>
      </c>
      <c r="M190" s="10">
        <v>180.843096346225</v>
      </c>
      <c r="N190">
        <f t="shared" si="12"/>
        <v>-5.2467459664000127E-2</v>
      </c>
    </row>
    <row r="191" spans="1:14" x14ac:dyDescent="0.2">
      <c r="A191" s="26">
        <v>15</v>
      </c>
      <c r="B191" s="4">
        <v>2005</v>
      </c>
      <c r="C191" s="5" t="s">
        <v>29</v>
      </c>
      <c r="D191" s="5">
        <v>0.83543606615163302</v>
      </c>
      <c r="E191" s="5">
        <v>1.94261805140466</v>
      </c>
      <c r="F191" s="5">
        <v>7.1227470844622403</v>
      </c>
      <c r="G191" s="5">
        <v>4.2043935868149704</v>
      </c>
      <c r="H191" s="5">
        <v>6.5250910075513602</v>
      </c>
      <c r="I191" s="5">
        <v>3.3840562875443898</v>
      </c>
      <c r="J191" s="5">
        <v>-0.81268668050422799</v>
      </c>
      <c r="K191" s="5">
        <v>0.1</v>
      </c>
      <c r="L191" s="5">
        <v>4.1472851736893501</v>
      </c>
      <c r="M191" s="9">
        <v>56.169795718354798</v>
      </c>
      <c r="N191">
        <v>0.11</v>
      </c>
    </row>
    <row r="192" spans="1:14" x14ac:dyDescent="0.2">
      <c r="A192" s="27">
        <v>15</v>
      </c>
      <c r="B192" s="6">
        <f>B191+1</f>
        <v>2006</v>
      </c>
      <c r="C192" t="s">
        <v>29</v>
      </c>
      <c r="D192">
        <v>1.10271568310665</v>
      </c>
      <c r="E192">
        <v>2.6993424985056702</v>
      </c>
      <c r="F192">
        <v>8.8323124042879009</v>
      </c>
      <c r="G192">
        <v>5.2689737623022497</v>
      </c>
      <c r="H192">
        <v>6.4337073919191203</v>
      </c>
      <c r="I192">
        <v>2.6296837144469101</v>
      </c>
      <c r="J192">
        <v>0.28729813192932502</v>
      </c>
      <c r="K192">
        <v>0.13816444355962654</v>
      </c>
      <c r="L192">
        <v>-0.102895531272594</v>
      </c>
      <c r="M192" s="10">
        <v>77.7311567792717</v>
      </c>
      <c r="N192">
        <f t="shared" si="12"/>
        <v>0.3838604143947637</v>
      </c>
    </row>
    <row r="193" spans="1:14" x14ac:dyDescent="0.2">
      <c r="A193" s="27">
        <v>15</v>
      </c>
      <c r="B193" s="6">
        <f t="shared" ref="B193:B201" si="17">B192+1</f>
        <v>2007</v>
      </c>
      <c r="C193" t="s">
        <v>29</v>
      </c>
      <c r="D193">
        <v>0.73365302705401902</v>
      </c>
      <c r="E193">
        <v>2.2741581988443902</v>
      </c>
      <c r="F193">
        <v>11.2477912592766</v>
      </c>
      <c r="G193">
        <v>4.1021754445891396</v>
      </c>
      <c r="H193">
        <v>6.4401004843707597</v>
      </c>
      <c r="I193">
        <v>2.1305300189173901</v>
      </c>
      <c r="J193">
        <v>-0.494279349972154</v>
      </c>
      <c r="K193">
        <v>8.2560783627776413E-2</v>
      </c>
      <c r="L193">
        <v>-8.1162747849256593</v>
      </c>
      <c r="M193" s="10">
        <v>98.2129184404765</v>
      </c>
      <c r="N193">
        <f t="shared" si="12"/>
        <v>0.2634948778565791</v>
      </c>
    </row>
    <row r="194" spans="1:14" x14ac:dyDescent="0.2">
      <c r="A194" s="27">
        <v>15</v>
      </c>
      <c r="B194" s="6">
        <f t="shared" si="17"/>
        <v>2008</v>
      </c>
      <c r="C194" t="s">
        <v>29</v>
      </c>
      <c r="D194">
        <v>-0.71074082777663605</v>
      </c>
      <c r="E194">
        <v>2.3943016537158801</v>
      </c>
      <c r="F194">
        <v>13.425609612439599</v>
      </c>
      <c r="G194">
        <v>0.63623748425524795</v>
      </c>
      <c r="H194">
        <v>6.4401004843707597</v>
      </c>
      <c r="I194">
        <v>-0.72035445222528305</v>
      </c>
      <c r="J194">
        <v>-2.55763681466106</v>
      </c>
      <c r="K194">
        <v>-0.43803522378413251</v>
      </c>
      <c r="L194">
        <v>-9.9494026106555097E-2</v>
      </c>
      <c r="M194" s="10">
        <v>92.1028452421059</v>
      </c>
      <c r="N194">
        <f t="shared" si="12"/>
        <v>-6.2212520464644427E-2</v>
      </c>
    </row>
    <row r="195" spans="1:14" x14ac:dyDescent="0.2">
      <c r="A195" s="27">
        <v>15</v>
      </c>
      <c r="B195" s="6">
        <f t="shared" si="17"/>
        <v>2009</v>
      </c>
      <c r="C195" t="s">
        <v>29</v>
      </c>
      <c r="D195">
        <v>-2.4974958141174399</v>
      </c>
      <c r="E195">
        <v>1.6104801753337299</v>
      </c>
      <c r="F195">
        <v>13.7074449287313</v>
      </c>
      <c r="G195">
        <v>5.1493349843088503E-2</v>
      </c>
      <c r="H195">
        <v>11.920108908210199</v>
      </c>
      <c r="I195">
        <v>9.2263781487506594E-2</v>
      </c>
      <c r="J195">
        <v>-3.5688503012200701</v>
      </c>
      <c r="K195">
        <v>0.18573893041978207</v>
      </c>
      <c r="L195">
        <v>-6.2896665107643397</v>
      </c>
      <c r="M195" s="10">
        <v>136.02952436372499</v>
      </c>
      <c r="N195">
        <f t="shared" si="12"/>
        <v>0.47693075068583757</v>
      </c>
    </row>
    <row r="196" spans="1:14" x14ac:dyDescent="0.2">
      <c r="A196" s="27">
        <v>15</v>
      </c>
      <c r="B196" s="6">
        <f t="shared" si="17"/>
        <v>2010</v>
      </c>
      <c r="C196" t="s">
        <v>29</v>
      </c>
      <c r="D196">
        <v>-1.8397394471697499</v>
      </c>
      <c r="E196">
        <v>0.90655509065550799</v>
      </c>
      <c r="F196">
        <v>0.81900106019553198</v>
      </c>
      <c r="G196">
        <v>4.3039217779298797E-2</v>
      </c>
      <c r="H196">
        <v>13.295751978098</v>
      </c>
      <c r="I196">
        <v>2.78898808536059</v>
      </c>
      <c r="J196">
        <v>-3.1414721814407902</v>
      </c>
      <c r="K196">
        <v>-2.4975751697382642E-2</v>
      </c>
      <c r="L196">
        <v>-11.0625451762404</v>
      </c>
      <c r="M196" s="10">
        <v>160.75311629046499</v>
      </c>
      <c r="N196">
        <f t="shared" ref="N196:N201" si="18">M196/M195-1</f>
        <v>0.18175166047506264</v>
      </c>
    </row>
    <row r="197" spans="1:14" x14ac:dyDescent="0.2">
      <c r="A197" s="27">
        <v>15</v>
      </c>
      <c r="B197" s="6">
        <f t="shared" si="17"/>
        <v>2011</v>
      </c>
      <c r="C197" t="s">
        <v>29</v>
      </c>
      <c r="D197">
        <v>-1.47424580677378</v>
      </c>
      <c r="E197">
        <v>2.0988244670252998</v>
      </c>
      <c r="F197">
        <v>-7.7756508422664696</v>
      </c>
      <c r="G197">
        <v>6.63521274097469E-2</v>
      </c>
      <c r="H197">
        <v>16.921011462438699</v>
      </c>
      <c r="I197">
        <v>2.4174438286150401</v>
      </c>
      <c r="J197">
        <v>-1.85792031590138</v>
      </c>
      <c r="K197">
        <v>0.13404625714996188</v>
      </c>
      <c r="L197">
        <v>-10.527375030117399</v>
      </c>
      <c r="M197" s="10">
        <v>199.41961961348801</v>
      </c>
      <c r="N197">
        <f t="shared" si="18"/>
        <v>0.24053346034770784</v>
      </c>
    </row>
    <row r="198" spans="1:14" x14ac:dyDescent="0.2">
      <c r="A198" s="27">
        <v>15</v>
      </c>
      <c r="B198" s="6">
        <f t="shared" si="17"/>
        <v>2012</v>
      </c>
      <c r="C198" t="s">
        <v>29</v>
      </c>
      <c r="D198">
        <v>-1.2064374467585099</v>
      </c>
      <c r="E198">
        <v>2.0468220761107698</v>
      </c>
      <c r="F198">
        <v>-7.2561550241489101</v>
      </c>
      <c r="G198">
        <v>5.6745159155440199E-2</v>
      </c>
      <c r="H198">
        <v>16.526143987484499</v>
      </c>
      <c r="I198">
        <v>1.7973183764229499</v>
      </c>
      <c r="J198">
        <v>-1.6713410621171401</v>
      </c>
      <c r="K198">
        <v>0.36732456140350989</v>
      </c>
      <c r="L198">
        <v>-9.4371926244029503</v>
      </c>
      <c r="M198" s="10">
        <v>208.13298214449699</v>
      </c>
      <c r="N198">
        <f t="shared" si="18"/>
        <v>4.369360721827209E-2</v>
      </c>
    </row>
    <row r="199" spans="1:14" x14ac:dyDescent="0.2">
      <c r="A199" s="27">
        <v>15</v>
      </c>
      <c r="B199" s="6">
        <f t="shared" si="17"/>
        <v>2013</v>
      </c>
      <c r="C199" t="s">
        <v>29</v>
      </c>
      <c r="D199">
        <v>-0.54782187233792501</v>
      </c>
      <c r="E199">
        <v>1.7925881649730999</v>
      </c>
      <c r="F199">
        <v>-4.8353751914242</v>
      </c>
      <c r="G199">
        <v>5.6745159155440199E-2</v>
      </c>
      <c r="H199">
        <v>20.1310960016847</v>
      </c>
      <c r="I199">
        <v>1.9091633201686</v>
      </c>
      <c r="J199">
        <v>-2.4734723839416799</v>
      </c>
      <c r="K199">
        <v>0.28644747393744607</v>
      </c>
      <c r="L199">
        <v>-7.5601286902787699</v>
      </c>
      <c r="M199" s="10">
        <v>155.13307402529699</v>
      </c>
      <c r="N199">
        <f t="shared" si="18"/>
        <v>-0.25464444689695864</v>
      </c>
    </row>
    <row r="200" spans="1:14" x14ac:dyDescent="0.2">
      <c r="A200" s="27">
        <v>15</v>
      </c>
      <c r="B200" s="6">
        <f t="shared" si="17"/>
        <v>2014</v>
      </c>
      <c r="C200" t="s">
        <v>29</v>
      </c>
      <c r="D200">
        <v>3.7100138060688702E-2</v>
      </c>
      <c r="E200">
        <v>1.6620840804941199</v>
      </c>
      <c r="F200">
        <v>-3.1187419012839901</v>
      </c>
      <c r="G200">
        <v>7.7752396404861202E-2</v>
      </c>
      <c r="H200">
        <v>23.010996119016799</v>
      </c>
      <c r="I200">
        <v>3.16899538681092</v>
      </c>
      <c r="J200">
        <v>-2.16179820786716</v>
      </c>
      <c r="K200">
        <v>7.9665877072680136E-2</v>
      </c>
      <c r="L200">
        <v>3.2498547273835201</v>
      </c>
      <c r="M200" s="10">
        <v>149.16082202689</v>
      </c>
      <c r="N200">
        <f t="shared" si="18"/>
        <v>-3.8497606238584003E-2</v>
      </c>
    </row>
    <row r="201" spans="1:14" ht="16" thickBot="1" x14ac:dyDescent="0.25">
      <c r="A201" s="28">
        <v>15</v>
      </c>
      <c r="B201" s="7">
        <f t="shared" si="17"/>
        <v>2015</v>
      </c>
      <c r="C201" s="8" t="s">
        <v>29</v>
      </c>
      <c r="D201" s="8">
        <v>-0.13560056399259601</v>
      </c>
      <c r="E201" s="8">
        <v>2.0466228332337102</v>
      </c>
      <c r="F201" s="8">
        <v>-1.6486040758628699</v>
      </c>
      <c r="G201" s="8">
        <v>0.31613330202173401</v>
      </c>
      <c r="H201" s="8">
        <v>22.103553055146001</v>
      </c>
      <c r="I201" s="8">
        <v>1.75417344263383</v>
      </c>
      <c r="J201" s="8">
        <v>-2.0834809902293299</v>
      </c>
      <c r="K201" s="8">
        <v>2.8868360277140903E-2</v>
      </c>
      <c r="L201" s="8">
        <v>14.645463951131701</v>
      </c>
      <c r="M201" s="11">
        <v>134.536461364123</v>
      </c>
      <c r="N201">
        <f t="shared" si="18"/>
        <v>-9.8044248241878074E-2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4AF2A-5647-214A-A428-819AC32B50D8}">
  <dimension ref="A1:I25"/>
  <sheetViews>
    <sheetView workbookViewId="0">
      <selection activeCell="B17" sqref="B17:B25"/>
    </sheetView>
  </sheetViews>
  <sheetFormatPr baseColWidth="10" defaultRowHeight="15" x14ac:dyDescent="0.2"/>
  <sheetData>
    <row r="1" spans="1:9" x14ac:dyDescent="0.2">
      <c r="A1" t="s">
        <v>45</v>
      </c>
    </row>
    <row r="2" spans="1:9" ht="16" thickBot="1" x14ac:dyDescent="0.25"/>
    <row r="3" spans="1:9" x14ac:dyDescent="0.2">
      <c r="A3" s="32" t="s">
        <v>46</v>
      </c>
      <c r="B3" s="32"/>
    </row>
    <row r="4" spans="1:9" x14ac:dyDescent="0.2">
      <c r="A4" t="s">
        <v>47</v>
      </c>
      <c r="B4">
        <v>0.63361806711308322</v>
      </c>
    </row>
    <row r="5" spans="1:9" x14ac:dyDescent="0.2">
      <c r="A5" t="s">
        <v>48</v>
      </c>
      <c r="B5">
        <v>0.40147185497211962</v>
      </c>
    </row>
    <row r="6" spans="1:9" x14ac:dyDescent="0.2">
      <c r="A6" t="s">
        <v>49</v>
      </c>
      <c r="B6">
        <v>0.32031549632427148</v>
      </c>
    </row>
    <row r="7" spans="1:9" x14ac:dyDescent="0.2">
      <c r="A7" t="s">
        <v>50</v>
      </c>
      <c r="B7">
        <v>1.062502745968839</v>
      </c>
    </row>
    <row r="8" spans="1:9" ht="16" thickBot="1" x14ac:dyDescent="0.25">
      <c r="A8" s="8" t="s">
        <v>51</v>
      </c>
      <c r="B8" s="8">
        <v>68</v>
      </c>
    </row>
    <row r="10" spans="1:9" ht="16" thickBot="1" x14ac:dyDescent="0.25">
      <c r="A10" t="s">
        <v>52</v>
      </c>
    </row>
    <row r="11" spans="1:9" x14ac:dyDescent="0.2">
      <c r="A11" s="31"/>
      <c r="B11" s="31" t="s">
        <v>57</v>
      </c>
      <c r="C11" s="31" t="s">
        <v>58</v>
      </c>
      <c r="D11" s="31" t="s">
        <v>59</v>
      </c>
      <c r="E11" s="31" t="s">
        <v>60</v>
      </c>
      <c r="F11" s="31" t="s">
        <v>61</v>
      </c>
    </row>
    <row r="12" spans="1:9" x14ac:dyDescent="0.2">
      <c r="A12" t="s">
        <v>53</v>
      </c>
      <c r="B12">
        <v>8</v>
      </c>
      <c r="C12">
        <v>44.676861948312265</v>
      </c>
      <c r="D12">
        <v>5.5846077435390331</v>
      </c>
      <c r="E12">
        <v>4.9468934001114695</v>
      </c>
      <c r="F12">
        <v>1.0379910638470293E-4</v>
      </c>
    </row>
    <row r="13" spans="1:9" x14ac:dyDescent="0.2">
      <c r="A13" t="s">
        <v>54</v>
      </c>
      <c r="B13">
        <v>59</v>
      </c>
      <c r="C13">
        <v>66.605813026288061</v>
      </c>
      <c r="D13">
        <v>1.128912085191323</v>
      </c>
    </row>
    <row r="14" spans="1:9" ht="16" thickBot="1" x14ac:dyDescent="0.25">
      <c r="A14" s="8" t="s">
        <v>55</v>
      </c>
      <c r="B14" s="8">
        <v>67</v>
      </c>
      <c r="C14" s="8">
        <v>111.28267497460033</v>
      </c>
      <c r="D14" s="8"/>
      <c r="E14" s="8"/>
      <c r="F14" s="8"/>
    </row>
    <row r="15" spans="1:9" ht="16" thickBot="1" x14ac:dyDescent="0.25"/>
    <row r="16" spans="1:9" x14ac:dyDescent="0.2">
      <c r="A16" s="31"/>
      <c r="B16" s="31" t="s">
        <v>62</v>
      </c>
      <c r="C16" s="31" t="s">
        <v>50</v>
      </c>
      <c r="D16" s="31" t="s">
        <v>63</v>
      </c>
      <c r="E16" s="31" t="s">
        <v>64</v>
      </c>
      <c r="F16" s="31" t="s">
        <v>65</v>
      </c>
      <c r="G16" s="31" t="s">
        <v>66</v>
      </c>
      <c r="H16" s="31" t="s">
        <v>67</v>
      </c>
      <c r="I16" s="31" t="s">
        <v>68</v>
      </c>
    </row>
    <row r="17" spans="1:9" x14ac:dyDescent="0.2">
      <c r="A17" t="s">
        <v>56</v>
      </c>
      <c r="B17">
        <v>-0.525220673171646</v>
      </c>
      <c r="C17">
        <v>0.43586387264612142</v>
      </c>
      <c r="D17">
        <v>-1.2050107984014393</v>
      </c>
      <c r="E17">
        <v>0.23301030824579685</v>
      </c>
      <c r="F17">
        <v>-1.3973822678121888</v>
      </c>
      <c r="G17">
        <v>0.34694092146889677</v>
      </c>
      <c r="H17">
        <v>-1.3973822678121888</v>
      </c>
      <c r="I17">
        <v>0.34694092146889677</v>
      </c>
    </row>
    <row r="18" spans="1:9" x14ac:dyDescent="0.2">
      <c r="A18" t="s">
        <v>30</v>
      </c>
      <c r="B18">
        <v>3.667291608618823E-2</v>
      </c>
      <c r="C18">
        <v>1.9093682119884072E-2</v>
      </c>
      <c r="D18">
        <v>1.9206832844460746</v>
      </c>
      <c r="E18">
        <v>5.9608443123699367E-2</v>
      </c>
      <c r="F18">
        <v>-1.5334535863864161E-3</v>
      </c>
      <c r="G18">
        <v>7.4879285758762876E-2</v>
      </c>
      <c r="H18">
        <v>-1.5334535863864161E-3</v>
      </c>
      <c r="I18">
        <v>7.4879285758762876E-2</v>
      </c>
    </row>
    <row r="19" spans="1:9" x14ac:dyDescent="0.2">
      <c r="A19" t="s">
        <v>34</v>
      </c>
      <c r="B19">
        <v>1.1024007147647315E-2</v>
      </c>
      <c r="C19">
        <v>1.2874600063915501E-2</v>
      </c>
      <c r="D19">
        <v>0.85626016287255657</v>
      </c>
      <c r="E19">
        <v>0.39531823999256399</v>
      </c>
      <c r="F19">
        <v>-1.4738008074982533E-2</v>
      </c>
      <c r="G19">
        <v>3.6786022370277165E-2</v>
      </c>
      <c r="H19">
        <v>-1.4738008074982533E-2</v>
      </c>
      <c r="I19">
        <v>3.6786022370277165E-2</v>
      </c>
    </row>
    <row r="20" spans="1:9" x14ac:dyDescent="0.2">
      <c r="A20" t="s">
        <v>25</v>
      </c>
      <c r="B20">
        <v>0.12921249452710568</v>
      </c>
      <c r="C20">
        <v>0.10704832911644963</v>
      </c>
      <c r="D20">
        <v>1.2070482145176256</v>
      </c>
      <c r="E20">
        <v>0.23223069449924508</v>
      </c>
      <c r="F20">
        <v>-8.4990717266981874E-2</v>
      </c>
      <c r="G20">
        <v>0.34341570632119323</v>
      </c>
      <c r="H20">
        <v>-8.4990717266981874E-2</v>
      </c>
      <c r="I20">
        <v>0.34341570632119323</v>
      </c>
    </row>
    <row r="21" spans="1:9" x14ac:dyDescent="0.2">
      <c r="A21" t="s">
        <v>33</v>
      </c>
      <c r="B21">
        <v>9.3025971162171203E-3</v>
      </c>
      <c r="C21">
        <v>2.1145832391576757E-2</v>
      </c>
      <c r="D21">
        <v>0.43992579454676478</v>
      </c>
      <c r="E21">
        <v>0.66159822984003513</v>
      </c>
      <c r="F21">
        <v>-3.3010115765157173E-2</v>
      </c>
      <c r="G21">
        <v>5.161530999759141E-2</v>
      </c>
      <c r="H21">
        <v>-3.3010115765157173E-2</v>
      </c>
      <c r="I21">
        <v>5.161530999759141E-2</v>
      </c>
    </row>
    <row r="22" spans="1:9" x14ac:dyDescent="0.2">
      <c r="A22" t="s">
        <v>36</v>
      </c>
      <c r="B22">
        <v>8.0445674056748628E-2</v>
      </c>
      <c r="C22">
        <v>3.5140310501028588E-2</v>
      </c>
      <c r="D22">
        <v>2.2892704392692806</v>
      </c>
      <c r="E22">
        <v>2.5658894843387844E-2</v>
      </c>
      <c r="F22">
        <v>1.0130075159603768E-2</v>
      </c>
      <c r="G22">
        <v>0.15076127295389349</v>
      </c>
      <c r="H22">
        <v>1.0130075159603768E-2</v>
      </c>
      <c r="I22">
        <v>0.15076127295389349</v>
      </c>
    </row>
    <row r="23" spans="1:9" x14ac:dyDescent="0.2">
      <c r="A23" t="s">
        <v>26</v>
      </c>
      <c r="B23">
        <v>0.21049158242424487</v>
      </c>
      <c r="C23">
        <v>0.1477899320426663</v>
      </c>
      <c r="D23">
        <v>1.4242619880458223</v>
      </c>
      <c r="E23">
        <v>0.1596384801200407</v>
      </c>
      <c r="F23">
        <v>-8.5235388521109734E-2</v>
      </c>
      <c r="G23">
        <v>0.50621855336959942</v>
      </c>
      <c r="H23">
        <v>-8.5235388521109734E-2</v>
      </c>
      <c r="I23">
        <v>0.50621855336959942</v>
      </c>
    </row>
    <row r="24" spans="1:9" x14ac:dyDescent="0.2">
      <c r="A24" t="s">
        <v>69</v>
      </c>
      <c r="B24">
        <v>0.57337592426777484</v>
      </c>
      <c r="C24">
        <v>0.59179068702896409</v>
      </c>
      <c r="D24">
        <v>0.968882979802134</v>
      </c>
      <c r="E24">
        <v>0.33655873901544919</v>
      </c>
      <c r="F24">
        <v>-0.6107945052728635</v>
      </c>
      <c r="G24">
        <v>1.7575463538084131</v>
      </c>
      <c r="H24">
        <v>-0.6107945052728635</v>
      </c>
      <c r="I24">
        <v>1.7575463538084131</v>
      </c>
    </row>
    <row r="25" spans="1:9" ht="16" thickBot="1" x14ac:dyDescent="0.25">
      <c r="A25" s="8" t="s">
        <v>35</v>
      </c>
      <c r="B25" s="8">
        <v>-2.1063975609323278E-2</v>
      </c>
      <c r="C25" s="8">
        <v>1.0247221865552306E-2</v>
      </c>
      <c r="D25" s="8">
        <v>-2.0555791497140548</v>
      </c>
      <c r="E25" s="8">
        <v>4.4257262428264631E-2</v>
      </c>
      <c r="F25" s="8">
        <v>-4.156861920053849E-2</v>
      </c>
      <c r="G25" s="8">
        <v>-5.5933201810806665E-4</v>
      </c>
      <c r="H25" s="8">
        <v>-4.156861920053849E-2</v>
      </c>
      <c r="I25" s="8">
        <v>-5.5933201810806665E-4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56F4-F5F6-9148-9446-702A8C9FCD0C}">
  <dimension ref="A1:I26"/>
  <sheetViews>
    <sheetView workbookViewId="0">
      <selection activeCell="B17" sqref="B17:B26"/>
    </sheetView>
  </sheetViews>
  <sheetFormatPr baseColWidth="10" defaultRowHeight="15" x14ac:dyDescent="0.2"/>
  <sheetData>
    <row r="1" spans="1:9" x14ac:dyDescent="0.2">
      <c r="A1" t="s">
        <v>45</v>
      </c>
    </row>
    <row r="2" spans="1:9" ht="16" thickBot="1" x14ac:dyDescent="0.25"/>
    <row r="3" spans="1:9" x14ac:dyDescent="0.2">
      <c r="A3" s="32" t="s">
        <v>46</v>
      </c>
      <c r="B3" s="32"/>
    </row>
    <row r="4" spans="1:9" x14ac:dyDescent="0.2">
      <c r="A4" t="s">
        <v>47</v>
      </c>
      <c r="B4">
        <v>0.92040357653975613</v>
      </c>
    </row>
    <row r="5" spans="1:9" x14ac:dyDescent="0.2">
      <c r="A5" t="s">
        <v>48</v>
      </c>
      <c r="B5">
        <v>0.84714274370717479</v>
      </c>
    </row>
    <row r="6" spans="1:9" x14ac:dyDescent="0.2">
      <c r="A6" t="s">
        <v>49</v>
      </c>
      <c r="B6">
        <v>0.76621831390509088</v>
      </c>
    </row>
    <row r="7" spans="1:9" x14ac:dyDescent="0.2">
      <c r="A7" t="s">
        <v>50</v>
      </c>
      <c r="B7">
        <v>0.38346900978481441</v>
      </c>
    </row>
    <row r="8" spans="1:9" ht="16" thickBot="1" x14ac:dyDescent="0.25">
      <c r="A8" s="8" t="s">
        <v>51</v>
      </c>
      <c r="B8" s="8">
        <v>27</v>
      </c>
    </row>
    <row r="10" spans="1:9" ht="16" thickBot="1" x14ac:dyDescent="0.25">
      <c r="A10" t="s">
        <v>52</v>
      </c>
    </row>
    <row r="11" spans="1:9" x14ac:dyDescent="0.2">
      <c r="A11" s="31"/>
      <c r="B11" s="31" t="s">
        <v>57</v>
      </c>
      <c r="C11" s="31" t="s">
        <v>58</v>
      </c>
      <c r="D11" s="31" t="s">
        <v>59</v>
      </c>
      <c r="E11" s="31" t="s">
        <v>60</v>
      </c>
      <c r="F11" s="31" t="s">
        <v>61</v>
      </c>
    </row>
    <row r="12" spans="1:9" x14ac:dyDescent="0.2">
      <c r="A12" t="s">
        <v>53</v>
      </c>
      <c r="B12">
        <v>9</v>
      </c>
      <c r="C12">
        <v>13.854153673503811</v>
      </c>
      <c r="D12">
        <v>1.5393504081670901</v>
      </c>
      <c r="E12">
        <v>10.468318970909323</v>
      </c>
      <c r="F12">
        <v>2.4071320188679224E-5</v>
      </c>
    </row>
    <row r="13" spans="1:9" x14ac:dyDescent="0.2">
      <c r="A13" t="s">
        <v>54</v>
      </c>
      <c r="B13">
        <v>17</v>
      </c>
      <c r="C13">
        <v>2.4998241849108833</v>
      </c>
      <c r="D13">
        <v>0.14704848146534608</v>
      </c>
    </row>
    <row r="14" spans="1:9" ht="16" thickBot="1" x14ac:dyDescent="0.25">
      <c r="A14" s="8" t="s">
        <v>55</v>
      </c>
      <c r="B14" s="8">
        <v>26</v>
      </c>
      <c r="C14" s="8">
        <v>16.353977858414694</v>
      </c>
      <c r="D14" s="8"/>
      <c r="E14" s="8"/>
      <c r="F14" s="8"/>
    </row>
    <row r="15" spans="1:9" ht="16" thickBot="1" x14ac:dyDescent="0.25"/>
    <row r="16" spans="1:9" x14ac:dyDescent="0.2">
      <c r="A16" s="31"/>
      <c r="B16" s="31" t="s">
        <v>62</v>
      </c>
      <c r="C16" s="31" t="s">
        <v>50</v>
      </c>
      <c r="D16" s="31" t="s">
        <v>63</v>
      </c>
      <c r="E16" s="31" t="s">
        <v>64</v>
      </c>
      <c r="F16" s="31" t="s">
        <v>65</v>
      </c>
      <c r="G16" s="31" t="s">
        <v>66</v>
      </c>
      <c r="H16" s="31" t="s">
        <v>67</v>
      </c>
      <c r="I16" s="31" t="s">
        <v>68</v>
      </c>
    </row>
    <row r="17" spans="1:9" x14ac:dyDescent="0.2">
      <c r="A17" t="s">
        <v>56</v>
      </c>
      <c r="B17">
        <v>-1.386773849167783</v>
      </c>
      <c r="C17">
        <v>0.37942298208867642</v>
      </c>
      <c r="D17">
        <v>-3.6549547988204751</v>
      </c>
      <c r="E17">
        <v>1.9605021838020307E-3</v>
      </c>
      <c r="F17">
        <v>-2.1872863673664442</v>
      </c>
      <c r="G17">
        <v>-0.58626133096912192</v>
      </c>
      <c r="H17">
        <v>-2.1872863673664442</v>
      </c>
      <c r="I17">
        <v>-0.58626133096912192</v>
      </c>
    </row>
    <row r="18" spans="1:9" x14ac:dyDescent="0.2">
      <c r="A18" t="s">
        <v>77</v>
      </c>
      <c r="B18">
        <v>0.23335961777140518</v>
      </c>
      <c r="C18">
        <v>0.15497288292488812</v>
      </c>
      <c r="D18">
        <v>1.5058093607544836</v>
      </c>
      <c r="E18">
        <v>0.15047084225355717</v>
      </c>
      <c r="F18">
        <v>-9.3604584765262622E-2</v>
      </c>
      <c r="G18">
        <v>0.56032382030807293</v>
      </c>
      <c r="H18">
        <v>-9.3604584765262622E-2</v>
      </c>
      <c r="I18">
        <v>0.56032382030807293</v>
      </c>
    </row>
    <row r="19" spans="1:9" x14ac:dyDescent="0.2">
      <c r="A19" t="s">
        <v>78</v>
      </c>
      <c r="B19">
        <v>-2.7677407210366749E-2</v>
      </c>
      <c r="C19">
        <v>2.505177300147703E-2</v>
      </c>
      <c r="D19">
        <v>-1.1048083187060218</v>
      </c>
      <c r="E19">
        <v>0.28463469441235995</v>
      </c>
      <c r="F19">
        <v>-8.0532028141227105E-2</v>
      </c>
      <c r="G19">
        <v>2.5177213720493599E-2</v>
      </c>
      <c r="H19">
        <v>-8.0532028141227105E-2</v>
      </c>
      <c r="I19">
        <v>2.5177213720493599E-2</v>
      </c>
    </row>
    <row r="20" spans="1:9" x14ac:dyDescent="0.2">
      <c r="A20" t="s">
        <v>79</v>
      </c>
      <c r="B20">
        <v>0.23023673638868422</v>
      </c>
      <c r="C20">
        <v>0.1016815041023265</v>
      </c>
      <c r="D20">
        <v>2.2642931811569884</v>
      </c>
      <c r="E20">
        <v>3.6920985897205029E-2</v>
      </c>
      <c r="F20">
        <v>1.5707515056073446E-2</v>
      </c>
      <c r="G20">
        <v>0.44476595772129501</v>
      </c>
      <c r="H20">
        <v>1.5707515056073446E-2</v>
      </c>
      <c r="I20">
        <v>0.44476595772129501</v>
      </c>
    </row>
    <row r="21" spans="1:9" x14ac:dyDescent="0.2">
      <c r="A21" t="s">
        <v>80</v>
      </c>
      <c r="B21">
        <v>2.1531264944993106E-2</v>
      </c>
      <c r="C21">
        <v>6.5072763158875871E-3</v>
      </c>
      <c r="D21">
        <v>3.3087983204930587</v>
      </c>
      <c r="E21">
        <v>4.1505003458398452E-3</v>
      </c>
      <c r="F21">
        <v>7.8021120044676779E-3</v>
      </c>
      <c r="G21">
        <v>3.5260417885518536E-2</v>
      </c>
      <c r="H21">
        <v>7.8021120044676779E-3</v>
      </c>
      <c r="I21">
        <v>3.5260417885518536E-2</v>
      </c>
    </row>
    <row r="22" spans="1:9" x14ac:dyDescent="0.2">
      <c r="A22" t="s">
        <v>81</v>
      </c>
      <c r="B22">
        <v>6.8622776198130411E-2</v>
      </c>
      <c r="C22">
        <v>3.8721738502043968E-2</v>
      </c>
      <c r="D22">
        <v>1.7722028724125618</v>
      </c>
      <c r="E22">
        <v>9.4281228684737872E-2</v>
      </c>
      <c r="F22">
        <v>-1.307295089427008E-2</v>
      </c>
      <c r="G22">
        <v>0.1503185032905309</v>
      </c>
      <c r="H22">
        <v>-1.307295089427008E-2</v>
      </c>
      <c r="I22">
        <v>0.1503185032905309</v>
      </c>
    </row>
    <row r="23" spans="1:9" x14ac:dyDescent="0.2">
      <c r="A23" t="s">
        <v>82</v>
      </c>
      <c r="B23">
        <v>-0.11065041445980013</v>
      </c>
      <c r="C23">
        <v>0.18937616408782981</v>
      </c>
      <c r="D23">
        <v>-0.5842890259857737</v>
      </c>
      <c r="E23">
        <v>0.56669951922926964</v>
      </c>
      <c r="F23">
        <v>-0.51019919552262183</v>
      </c>
      <c r="G23">
        <v>0.28889836660302159</v>
      </c>
      <c r="H23">
        <v>-0.51019919552262183</v>
      </c>
      <c r="I23">
        <v>0.28889836660302159</v>
      </c>
    </row>
    <row r="24" spans="1:9" x14ac:dyDescent="0.2">
      <c r="A24" t="s">
        <v>83</v>
      </c>
      <c r="B24">
        <v>-0.48502495822887598</v>
      </c>
      <c r="C24">
        <v>0.5253901714111231</v>
      </c>
      <c r="D24">
        <v>-0.92317097772531242</v>
      </c>
      <c r="E24">
        <v>0.36883615801795833</v>
      </c>
      <c r="F24">
        <v>-1.5935013263125801</v>
      </c>
      <c r="G24">
        <v>0.62345140985482816</v>
      </c>
      <c r="H24">
        <v>-1.5935013263125801</v>
      </c>
      <c r="I24">
        <v>0.62345140985482816</v>
      </c>
    </row>
    <row r="25" spans="1:9" x14ac:dyDescent="0.2">
      <c r="A25" t="s">
        <v>84</v>
      </c>
      <c r="B25">
        <v>-2.3895729130779263E-2</v>
      </c>
      <c r="C25">
        <v>1.0135148339982931E-2</v>
      </c>
      <c r="D25">
        <v>-2.3577088690957932</v>
      </c>
      <c r="E25">
        <v>3.063139366776408E-2</v>
      </c>
      <c r="F25">
        <v>-4.5279022982126736E-2</v>
      </c>
      <c r="G25">
        <v>-2.5124352794317932E-3</v>
      </c>
      <c r="H25">
        <v>-4.5279022982126736E-2</v>
      </c>
      <c r="I25">
        <v>-2.5124352794317932E-3</v>
      </c>
    </row>
    <row r="26" spans="1:9" ht="16" thickBot="1" x14ac:dyDescent="0.25">
      <c r="A26" s="8" t="s">
        <v>85</v>
      </c>
      <c r="B26" s="8">
        <v>1.9097302111590961</v>
      </c>
      <c r="C26" s="8">
        <v>0.73305877812943676</v>
      </c>
      <c r="D26" s="8">
        <v>2.605152912884011</v>
      </c>
      <c r="E26" s="8">
        <v>1.8481984494945376E-2</v>
      </c>
      <c r="F26" s="8">
        <v>0.36311138159415324</v>
      </c>
      <c r="G26" s="8">
        <v>3.4563490407240391</v>
      </c>
      <c r="H26" s="8">
        <v>0.36311138159415324</v>
      </c>
      <c r="I26" s="8">
        <v>3.4563490407240391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70F2-D79D-D64D-816F-C39B1E32E6D0}">
  <dimension ref="A1:I26"/>
  <sheetViews>
    <sheetView workbookViewId="0">
      <selection activeCell="B17" sqref="B17:B26"/>
    </sheetView>
  </sheetViews>
  <sheetFormatPr baseColWidth="10" defaultRowHeight="15" x14ac:dyDescent="0.2"/>
  <sheetData>
    <row r="1" spans="1:9" x14ac:dyDescent="0.2">
      <c r="A1" t="s">
        <v>45</v>
      </c>
    </row>
    <row r="2" spans="1:9" ht="16" thickBot="1" x14ac:dyDescent="0.25"/>
    <row r="3" spans="1:9" x14ac:dyDescent="0.2">
      <c r="A3" s="32" t="s">
        <v>46</v>
      </c>
      <c r="B3" s="32"/>
    </row>
    <row r="4" spans="1:9" x14ac:dyDescent="0.2">
      <c r="A4" t="s">
        <v>47</v>
      </c>
      <c r="B4">
        <v>0.80430264592144396</v>
      </c>
    </row>
    <row r="5" spans="1:9" x14ac:dyDescent="0.2">
      <c r="A5" t="s">
        <v>48</v>
      </c>
      <c r="B5">
        <v>0.64690274623623567</v>
      </c>
    </row>
    <row r="6" spans="1:9" x14ac:dyDescent="0.2">
      <c r="A6" t="s">
        <v>49</v>
      </c>
      <c r="B6">
        <v>0.54097357010710634</v>
      </c>
    </row>
    <row r="7" spans="1:9" x14ac:dyDescent="0.2">
      <c r="A7" t="s">
        <v>50</v>
      </c>
      <c r="B7">
        <v>0.93113638229900386</v>
      </c>
    </row>
    <row r="8" spans="1:9" ht="16" thickBot="1" x14ac:dyDescent="0.25">
      <c r="A8" s="8" t="s">
        <v>51</v>
      </c>
      <c r="B8" s="8">
        <v>40</v>
      </c>
    </row>
    <row r="10" spans="1:9" ht="16" thickBot="1" x14ac:dyDescent="0.25">
      <c r="A10" t="s">
        <v>52</v>
      </c>
    </row>
    <row r="11" spans="1:9" x14ac:dyDescent="0.2">
      <c r="A11" s="31"/>
      <c r="B11" s="31" t="s">
        <v>57</v>
      </c>
      <c r="C11" s="31" t="s">
        <v>58</v>
      </c>
      <c r="D11" s="31" t="s">
        <v>59</v>
      </c>
      <c r="E11" s="31" t="s">
        <v>60</v>
      </c>
      <c r="F11" s="31" t="s">
        <v>61</v>
      </c>
    </row>
    <row r="12" spans="1:9" x14ac:dyDescent="0.2">
      <c r="A12" t="s">
        <v>53</v>
      </c>
      <c r="B12">
        <v>9</v>
      </c>
      <c r="C12">
        <v>47.653247448321096</v>
      </c>
      <c r="D12">
        <v>5.2948052720356777</v>
      </c>
      <c r="E12">
        <v>6.1069364444754211</v>
      </c>
      <c r="F12">
        <v>7.4118465529178463E-5</v>
      </c>
    </row>
    <row r="13" spans="1:9" x14ac:dyDescent="0.2">
      <c r="A13" t="s">
        <v>54</v>
      </c>
      <c r="B13">
        <v>30</v>
      </c>
      <c r="C13">
        <v>26.010448873226299</v>
      </c>
      <c r="D13">
        <v>0.86701496244087661</v>
      </c>
    </row>
    <row r="14" spans="1:9" ht="16" thickBot="1" x14ac:dyDescent="0.25">
      <c r="A14" s="8" t="s">
        <v>55</v>
      </c>
      <c r="B14" s="8">
        <v>39</v>
      </c>
      <c r="C14" s="8">
        <v>73.663696321547391</v>
      </c>
      <c r="D14" s="8"/>
      <c r="E14" s="8"/>
      <c r="F14" s="8"/>
    </row>
    <row r="15" spans="1:9" ht="16" thickBot="1" x14ac:dyDescent="0.25"/>
    <row r="16" spans="1:9" x14ac:dyDescent="0.2">
      <c r="A16" s="31"/>
      <c r="B16" s="31" t="s">
        <v>62</v>
      </c>
      <c r="C16" s="31" t="s">
        <v>50</v>
      </c>
      <c r="D16" s="31" t="s">
        <v>63</v>
      </c>
      <c r="E16" s="31" t="s">
        <v>64</v>
      </c>
      <c r="F16" s="31" t="s">
        <v>65</v>
      </c>
      <c r="G16" s="31" t="s">
        <v>66</v>
      </c>
      <c r="H16" s="31" t="s">
        <v>67</v>
      </c>
      <c r="I16" s="31" t="s">
        <v>68</v>
      </c>
    </row>
    <row r="17" spans="1:9" x14ac:dyDescent="0.2">
      <c r="A17" t="s">
        <v>56</v>
      </c>
      <c r="B17">
        <v>-0.23793759829384659</v>
      </c>
      <c r="C17">
        <v>0.72783014088998288</v>
      </c>
      <c r="D17">
        <v>-0.32691363674895224</v>
      </c>
      <c r="E17">
        <v>0.74600328865947008</v>
      </c>
      <c r="F17">
        <v>-1.7243650478993078</v>
      </c>
      <c r="G17">
        <v>1.2484898513116147</v>
      </c>
      <c r="H17">
        <v>-1.7243650478993078</v>
      </c>
      <c r="I17">
        <v>1.2484898513116147</v>
      </c>
    </row>
    <row r="18" spans="1:9" x14ac:dyDescent="0.2">
      <c r="A18" t="s">
        <v>77</v>
      </c>
      <c r="B18">
        <v>0.34981613722896882</v>
      </c>
      <c r="C18">
        <v>9.1312702223357731E-2</v>
      </c>
      <c r="D18">
        <v>3.8309690624782111</v>
      </c>
      <c r="E18">
        <v>6.0629701364404531E-4</v>
      </c>
      <c r="F18">
        <v>0.16333072056776854</v>
      </c>
      <c r="G18">
        <v>0.53630155389016909</v>
      </c>
      <c r="H18">
        <v>0.16333072056776854</v>
      </c>
      <c r="I18">
        <v>0.53630155389016909</v>
      </c>
    </row>
    <row r="19" spans="1:9" x14ac:dyDescent="0.2">
      <c r="A19" t="s">
        <v>78</v>
      </c>
      <c r="B19">
        <v>-7.9746871037038314E-4</v>
      </c>
      <c r="C19">
        <v>3.040841969852276E-2</v>
      </c>
      <c r="D19">
        <v>-2.6225259920663491E-2</v>
      </c>
      <c r="E19">
        <v>0.97925134389135948</v>
      </c>
      <c r="F19">
        <v>-6.2899746700311399E-2</v>
      </c>
      <c r="G19">
        <v>6.1304809279570639E-2</v>
      </c>
      <c r="H19">
        <v>-6.2899746700311399E-2</v>
      </c>
      <c r="I19">
        <v>6.1304809279570639E-2</v>
      </c>
    </row>
    <row r="20" spans="1:9" x14ac:dyDescent="0.2">
      <c r="A20" t="s">
        <v>79</v>
      </c>
      <c r="B20">
        <v>-0.12899302132446713</v>
      </c>
      <c r="C20">
        <v>6.9523078083786494E-2</v>
      </c>
      <c r="D20">
        <v>-1.8553985939605522</v>
      </c>
      <c r="E20">
        <v>7.3389071277457557E-2</v>
      </c>
      <c r="F20">
        <v>-0.27097808877226454</v>
      </c>
      <c r="G20">
        <v>1.2992046123330259E-2</v>
      </c>
      <c r="H20">
        <v>-0.27097808877226454</v>
      </c>
      <c r="I20">
        <v>1.2992046123330259E-2</v>
      </c>
    </row>
    <row r="21" spans="1:9" x14ac:dyDescent="0.2">
      <c r="A21" t="s">
        <v>80</v>
      </c>
      <c r="B21">
        <v>-9.027222862675377E-2</v>
      </c>
      <c r="C21">
        <v>4.2444849813025709E-2</v>
      </c>
      <c r="D21">
        <v>-2.1268122993581788</v>
      </c>
      <c r="E21">
        <v>4.1774046342171814E-2</v>
      </c>
      <c r="F21">
        <v>-0.17695617631173891</v>
      </c>
      <c r="G21">
        <v>-3.5882809417686224E-3</v>
      </c>
      <c r="H21">
        <v>-0.17695617631173891</v>
      </c>
      <c r="I21">
        <v>-3.5882809417686224E-3</v>
      </c>
    </row>
    <row r="22" spans="1:9" x14ac:dyDescent="0.2">
      <c r="A22" t="s">
        <v>81</v>
      </c>
      <c r="B22">
        <v>6.5972280344691381E-2</v>
      </c>
      <c r="C22">
        <v>7.7350267338507306E-2</v>
      </c>
      <c r="D22">
        <v>0.85290306827224605</v>
      </c>
      <c r="E22">
        <v>0.40047150978489132</v>
      </c>
      <c r="F22">
        <v>-9.1998040128279335E-2</v>
      </c>
      <c r="G22">
        <v>0.2239426008176621</v>
      </c>
      <c r="H22">
        <v>-9.1998040128279335E-2</v>
      </c>
      <c r="I22">
        <v>0.2239426008176621</v>
      </c>
    </row>
    <row r="23" spans="1:9" x14ac:dyDescent="0.2">
      <c r="A23" t="s">
        <v>82</v>
      </c>
      <c r="B23">
        <v>7.8197985483510965E-2</v>
      </c>
      <c r="C23">
        <v>0.13656201315509189</v>
      </c>
      <c r="D23">
        <v>0.57261886872378209</v>
      </c>
      <c r="E23">
        <v>0.57116977691886583</v>
      </c>
      <c r="F23">
        <v>-0.2006988525601805</v>
      </c>
      <c r="G23">
        <v>0.35709482352720245</v>
      </c>
      <c r="H23">
        <v>-0.2006988525601805</v>
      </c>
      <c r="I23">
        <v>0.35709482352720245</v>
      </c>
    </row>
    <row r="24" spans="1:9" x14ac:dyDescent="0.2">
      <c r="A24" t="s">
        <v>83</v>
      </c>
      <c r="B24">
        <v>1.7819421894320426</v>
      </c>
      <c r="C24">
        <v>0.87212534095948968</v>
      </c>
      <c r="D24">
        <v>2.0432179937250718</v>
      </c>
      <c r="E24">
        <v>4.9900613022356051E-2</v>
      </c>
      <c r="F24">
        <v>8.2462714815115267E-4</v>
      </c>
      <c r="G24">
        <v>3.5630597517159339</v>
      </c>
      <c r="H24">
        <v>8.2462714815115267E-4</v>
      </c>
      <c r="I24">
        <v>3.5630597517159339</v>
      </c>
    </row>
    <row r="25" spans="1:9" x14ac:dyDescent="0.2">
      <c r="A25" t="s">
        <v>84</v>
      </c>
      <c r="B25">
        <v>7.0982567756010029E-2</v>
      </c>
      <c r="C25">
        <v>2.5819766177757969E-2</v>
      </c>
      <c r="D25">
        <v>2.749156102627949</v>
      </c>
      <c r="E25">
        <v>1.0020392553134068E-2</v>
      </c>
      <c r="F25">
        <v>1.8251570463036638E-2</v>
      </c>
      <c r="G25">
        <v>0.12371356504898341</v>
      </c>
      <c r="H25">
        <v>1.8251570463036638E-2</v>
      </c>
      <c r="I25">
        <v>0.12371356504898341</v>
      </c>
    </row>
    <row r="26" spans="1:9" ht="16" thickBot="1" x14ac:dyDescent="0.25">
      <c r="A26" s="8" t="s">
        <v>85</v>
      </c>
      <c r="B26" s="8">
        <v>-2.6666548312003235</v>
      </c>
      <c r="C26" s="8">
        <v>1.9385513933008913</v>
      </c>
      <c r="D26" s="8">
        <v>-1.3755915063255792</v>
      </c>
      <c r="E26" s="8">
        <v>0.17913287428013172</v>
      </c>
      <c r="F26" s="8">
        <v>-6.6257049468631219</v>
      </c>
      <c r="G26" s="8">
        <v>1.2923952844624746</v>
      </c>
      <c r="H26" s="8">
        <v>-6.6257049468631219</v>
      </c>
      <c r="I26" s="8">
        <v>1.2923952844624746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7094-A816-FF41-9719-9BB183CEF8A7}">
  <dimension ref="A1:I26"/>
  <sheetViews>
    <sheetView workbookViewId="0">
      <selection activeCell="B17" sqref="B17:B26"/>
    </sheetView>
  </sheetViews>
  <sheetFormatPr baseColWidth="10" defaultRowHeight="15" x14ac:dyDescent="0.2"/>
  <sheetData>
    <row r="1" spans="1:9" x14ac:dyDescent="0.2">
      <c r="A1" t="s">
        <v>45</v>
      </c>
    </row>
    <row r="2" spans="1:9" ht="16" thickBot="1" x14ac:dyDescent="0.25"/>
    <row r="3" spans="1:9" x14ac:dyDescent="0.2">
      <c r="A3" s="32" t="s">
        <v>46</v>
      </c>
      <c r="B3" s="32"/>
    </row>
    <row r="4" spans="1:9" x14ac:dyDescent="0.2">
      <c r="A4" t="s">
        <v>47</v>
      </c>
      <c r="B4">
        <v>0.80144743769686766</v>
      </c>
    </row>
    <row r="5" spans="1:9" x14ac:dyDescent="0.2">
      <c r="A5" t="s">
        <v>48</v>
      </c>
      <c r="B5">
        <v>0.64231799539087464</v>
      </c>
    </row>
    <row r="6" spans="1:9" x14ac:dyDescent="0.2">
      <c r="A6" t="s">
        <v>49</v>
      </c>
      <c r="B6">
        <v>0.58378821281847226</v>
      </c>
    </row>
    <row r="7" spans="1:9" x14ac:dyDescent="0.2">
      <c r="A7" t="s">
        <v>50</v>
      </c>
      <c r="B7">
        <v>0.68824867355914821</v>
      </c>
    </row>
    <row r="8" spans="1:9" ht="16" thickBot="1" x14ac:dyDescent="0.25">
      <c r="A8" s="8" t="s">
        <v>51</v>
      </c>
      <c r="B8" s="8">
        <v>65</v>
      </c>
    </row>
    <row r="10" spans="1:9" ht="16" thickBot="1" x14ac:dyDescent="0.25">
      <c r="A10" t="s">
        <v>52</v>
      </c>
    </row>
    <row r="11" spans="1:9" x14ac:dyDescent="0.2">
      <c r="A11" s="31"/>
      <c r="B11" s="31" t="s">
        <v>57</v>
      </c>
      <c r="C11" s="31" t="s">
        <v>58</v>
      </c>
      <c r="D11" s="31" t="s">
        <v>59</v>
      </c>
      <c r="E11" s="31" t="s">
        <v>60</v>
      </c>
      <c r="F11" s="31" t="s">
        <v>61</v>
      </c>
    </row>
    <row r="12" spans="1:9" x14ac:dyDescent="0.2">
      <c r="A12" t="s">
        <v>53</v>
      </c>
      <c r="B12">
        <v>9</v>
      </c>
      <c r="C12">
        <v>46.784980661262516</v>
      </c>
      <c r="D12">
        <v>5.198331184584724</v>
      </c>
      <c r="E12">
        <v>10.974207782103351</v>
      </c>
      <c r="F12">
        <v>1.4761284054943676E-9</v>
      </c>
    </row>
    <row r="13" spans="1:9" x14ac:dyDescent="0.2">
      <c r="A13" t="s">
        <v>54</v>
      </c>
      <c r="B13">
        <v>55</v>
      </c>
      <c r="C13">
        <v>26.052743016075986</v>
      </c>
      <c r="D13">
        <v>0.47368623665592702</v>
      </c>
    </row>
    <row r="14" spans="1:9" ht="16" thickBot="1" x14ac:dyDescent="0.25">
      <c r="A14" s="8" t="s">
        <v>55</v>
      </c>
      <c r="B14" s="8">
        <v>64</v>
      </c>
      <c r="C14" s="8">
        <v>72.837723677338502</v>
      </c>
      <c r="D14" s="8"/>
      <c r="E14" s="8"/>
      <c r="F14" s="8"/>
    </row>
    <row r="15" spans="1:9" ht="16" thickBot="1" x14ac:dyDescent="0.25"/>
    <row r="16" spans="1:9" x14ac:dyDescent="0.2">
      <c r="A16" s="31"/>
      <c r="B16" s="31" t="s">
        <v>62</v>
      </c>
      <c r="C16" s="31" t="s">
        <v>50</v>
      </c>
      <c r="D16" s="31" t="s">
        <v>63</v>
      </c>
      <c r="E16" s="31" t="s">
        <v>64</v>
      </c>
      <c r="F16" s="31" t="s">
        <v>65</v>
      </c>
      <c r="G16" s="31" t="s">
        <v>66</v>
      </c>
      <c r="H16" s="31" t="s">
        <v>67</v>
      </c>
      <c r="I16" s="31" t="s">
        <v>68</v>
      </c>
    </row>
    <row r="17" spans="1:9" x14ac:dyDescent="0.2">
      <c r="A17" t="s">
        <v>56</v>
      </c>
      <c r="B17">
        <v>-1.2327465837627698</v>
      </c>
      <c r="C17">
        <v>0.46589503729563014</v>
      </c>
      <c r="D17">
        <v>-2.6459749194120303</v>
      </c>
      <c r="E17">
        <v>1.0600567842378497E-2</v>
      </c>
      <c r="F17">
        <v>-2.1664211028153795</v>
      </c>
      <c r="G17">
        <v>-0.29907206471016035</v>
      </c>
      <c r="H17">
        <v>-2.1664211028153795</v>
      </c>
      <c r="I17">
        <v>-0.29907206471016035</v>
      </c>
    </row>
    <row r="18" spans="1:9" x14ac:dyDescent="0.2">
      <c r="A18" t="s">
        <v>77</v>
      </c>
      <c r="B18">
        <v>0.34898490857328024</v>
      </c>
      <c r="C18">
        <v>9.8251555845439487E-2</v>
      </c>
      <c r="D18">
        <v>3.5519530003399837</v>
      </c>
      <c r="E18">
        <v>7.9305275240644274E-4</v>
      </c>
      <c r="F18">
        <v>0.15208439063118509</v>
      </c>
      <c r="G18">
        <v>0.54588542651537542</v>
      </c>
      <c r="H18">
        <v>0.15208439063118509</v>
      </c>
      <c r="I18">
        <v>0.54588542651537542</v>
      </c>
    </row>
    <row r="19" spans="1:9" x14ac:dyDescent="0.2">
      <c r="A19" t="s">
        <v>78</v>
      </c>
      <c r="B19">
        <v>2.6079131436497135E-2</v>
      </c>
      <c r="C19">
        <v>1.1746163008343019E-2</v>
      </c>
      <c r="D19">
        <v>2.2202255679555742</v>
      </c>
      <c r="E19">
        <v>3.0543133622268313E-2</v>
      </c>
      <c r="F19">
        <v>2.5392947359633719E-3</v>
      </c>
      <c r="G19">
        <v>4.96189681370309E-2</v>
      </c>
      <c r="H19">
        <v>2.5392947359633719E-3</v>
      </c>
      <c r="I19">
        <v>4.96189681370309E-2</v>
      </c>
    </row>
    <row r="20" spans="1:9" x14ac:dyDescent="0.2">
      <c r="A20" t="s">
        <v>79</v>
      </c>
      <c r="B20">
        <v>2.6319632344773303E-2</v>
      </c>
      <c r="C20">
        <v>3.4363622372940855E-2</v>
      </c>
      <c r="D20">
        <v>0.76591553879658281</v>
      </c>
      <c r="E20">
        <v>0.44700124123004392</v>
      </c>
      <c r="F20">
        <v>-4.2546605806636988E-2</v>
      </c>
      <c r="G20">
        <v>9.5185870496183586E-2</v>
      </c>
      <c r="H20">
        <v>-4.2546605806636988E-2</v>
      </c>
      <c r="I20">
        <v>9.5185870496183586E-2</v>
      </c>
    </row>
    <row r="21" spans="1:9" x14ac:dyDescent="0.2">
      <c r="A21" t="s">
        <v>80</v>
      </c>
      <c r="B21">
        <v>-8.6057398642187238E-3</v>
      </c>
      <c r="C21">
        <v>2.3721166309447428E-2</v>
      </c>
      <c r="D21">
        <v>-0.36278738372115016</v>
      </c>
      <c r="E21">
        <v>0.71815421402519264</v>
      </c>
      <c r="F21">
        <v>-5.6144019460201075E-2</v>
      </c>
      <c r="G21">
        <v>3.8932539731763624E-2</v>
      </c>
      <c r="H21">
        <v>-5.6144019460201075E-2</v>
      </c>
      <c r="I21">
        <v>3.8932539731763624E-2</v>
      </c>
    </row>
    <row r="22" spans="1:9" x14ac:dyDescent="0.2">
      <c r="A22" t="s">
        <v>81</v>
      </c>
      <c r="B22">
        <v>0.24719352494329577</v>
      </c>
      <c r="C22">
        <v>4.1968989773862514E-2</v>
      </c>
      <c r="D22">
        <v>5.8899088654557792</v>
      </c>
      <c r="E22">
        <v>2.4213967231558325E-7</v>
      </c>
      <c r="F22">
        <v>0.1630857899270711</v>
      </c>
      <c r="G22">
        <v>0.33130125995952042</v>
      </c>
      <c r="H22">
        <v>0.1630857899270711</v>
      </c>
      <c r="I22">
        <v>0.33130125995952042</v>
      </c>
    </row>
    <row r="23" spans="1:9" x14ac:dyDescent="0.2">
      <c r="A23" t="s">
        <v>82</v>
      </c>
      <c r="B23">
        <v>-1.5980495786035755E-3</v>
      </c>
      <c r="C23">
        <v>4.0068139820683149E-2</v>
      </c>
      <c r="D23">
        <v>-3.9883298444982049E-2</v>
      </c>
      <c r="E23">
        <v>0.96833059121451548</v>
      </c>
      <c r="F23">
        <v>-8.1896396162343718E-2</v>
      </c>
      <c r="G23">
        <v>7.870029700513656E-2</v>
      </c>
      <c r="H23">
        <v>-8.1896396162343718E-2</v>
      </c>
      <c r="I23">
        <v>7.870029700513656E-2</v>
      </c>
    </row>
    <row r="24" spans="1:9" x14ac:dyDescent="0.2">
      <c r="A24" t="s">
        <v>83</v>
      </c>
      <c r="B24">
        <v>0.17123022651272274</v>
      </c>
      <c r="C24">
        <v>0.38343327750391198</v>
      </c>
      <c r="D24">
        <v>0.44657111565121199</v>
      </c>
      <c r="E24">
        <v>0.65693819023838629</v>
      </c>
      <c r="F24">
        <v>-0.59718723300845133</v>
      </c>
      <c r="G24">
        <v>0.93964768603389681</v>
      </c>
      <c r="H24">
        <v>-0.59718723300845133</v>
      </c>
      <c r="I24">
        <v>0.93964768603389681</v>
      </c>
    </row>
    <row r="25" spans="1:9" x14ac:dyDescent="0.2">
      <c r="A25" t="s">
        <v>84</v>
      </c>
      <c r="B25">
        <v>7.0182708676907277E-2</v>
      </c>
      <c r="C25">
        <v>1.5582804751270945E-2</v>
      </c>
      <c r="D25">
        <v>4.5038560000684811</v>
      </c>
      <c r="E25">
        <v>3.5187613610875876E-5</v>
      </c>
      <c r="F25">
        <v>3.8954070106109427E-2</v>
      </c>
      <c r="G25">
        <v>0.10141134724770512</v>
      </c>
      <c r="H25">
        <v>3.8954070106109427E-2</v>
      </c>
      <c r="I25">
        <v>0.10141134724770512</v>
      </c>
    </row>
    <row r="26" spans="1:9" ht="16" thickBot="1" x14ac:dyDescent="0.25">
      <c r="A26" s="8" t="s">
        <v>85</v>
      </c>
      <c r="B26" s="8">
        <v>-0.99063175298460704</v>
      </c>
      <c r="C26" s="8">
        <v>0.58130486591887587</v>
      </c>
      <c r="D26" s="8">
        <v>-1.7041518333391259</v>
      </c>
      <c r="E26" s="8">
        <v>9.3996760483353245E-2</v>
      </c>
      <c r="F26" s="8">
        <v>-2.1555927370299264</v>
      </c>
      <c r="G26" s="8">
        <v>0.17432923106071233</v>
      </c>
      <c r="H26" s="8">
        <v>-2.1555927370299264</v>
      </c>
      <c r="I26" s="8">
        <v>0.17432923106071233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00F6-9A21-0D43-9AB0-2F9723B47228}">
  <dimension ref="A1:I26"/>
  <sheetViews>
    <sheetView workbookViewId="0">
      <selection activeCell="B17" sqref="B17:B26"/>
    </sheetView>
  </sheetViews>
  <sheetFormatPr baseColWidth="10" defaultRowHeight="15" x14ac:dyDescent="0.2"/>
  <sheetData>
    <row r="1" spans="1:9" x14ac:dyDescent="0.2">
      <c r="A1" t="s">
        <v>45</v>
      </c>
    </row>
    <row r="2" spans="1:9" ht="16" thickBot="1" x14ac:dyDescent="0.25"/>
    <row r="3" spans="1:9" x14ac:dyDescent="0.2">
      <c r="A3" s="32" t="s">
        <v>46</v>
      </c>
      <c r="B3" s="32"/>
    </row>
    <row r="4" spans="1:9" x14ac:dyDescent="0.2">
      <c r="A4" t="s">
        <v>47</v>
      </c>
      <c r="B4">
        <v>0.99999747564544306</v>
      </c>
    </row>
    <row r="5" spans="1:9" x14ac:dyDescent="0.2">
      <c r="A5" t="s">
        <v>48</v>
      </c>
      <c r="B5">
        <v>0.99999495129725846</v>
      </c>
    </row>
    <row r="6" spans="1:9" x14ac:dyDescent="0.2">
      <c r="A6" t="s">
        <v>49</v>
      </c>
      <c r="B6">
        <v>0.99994951297258461</v>
      </c>
    </row>
    <row r="7" spans="1:9" x14ac:dyDescent="0.2">
      <c r="A7" t="s">
        <v>50</v>
      </c>
      <c r="B7">
        <v>8.277526233463478E-3</v>
      </c>
    </row>
    <row r="8" spans="1:9" ht="16" thickBot="1" x14ac:dyDescent="0.25">
      <c r="A8" s="8" t="s">
        <v>51</v>
      </c>
      <c r="B8" s="8">
        <v>11</v>
      </c>
    </row>
    <row r="10" spans="1:9" ht="16" thickBot="1" x14ac:dyDescent="0.25">
      <c r="A10" t="s">
        <v>52</v>
      </c>
    </row>
    <row r="11" spans="1:9" x14ac:dyDescent="0.2">
      <c r="A11" s="31"/>
      <c r="B11" s="31" t="s">
        <v>57</v>
      </c>
      <c r="C11" s="31" t="s">
        <v>58</v>
      </c>
      <c r="D11" s="31" t="s">
        <v>59</v>
      </c>
      <c r="E11" s="31" t="s">
        <v>60</v>
      </c>
      <c r="F11" s="31" t="s">
        <v>61</v>
      </c>
    </row>
    <row r="12" spans="1:9" x14ac:dyDescent="0.2">
      <c r="A12" t="s">
        <v>53</v>
      </c>
      <c r="B12">
        <v>9</v>
      </c>
      <c r="C12">
        <v>13.571227725044253</v>
      </c>
      <c r="D12">
        <v>1.5079141916715837</v>
      </c>
      <c r="E12">
        <v>22007.74254937845</v>
      </c>
      <c r="F12">
        <v>5.2312971622787158E-3</v>
      </c>
    </row>
    <row r="13" spans="1:9" x14ac:dyDescent="0.2">
      <c r="A13" t="s">
        <v>54</v>
      </c>
      <c r="B13">
        <v>1</v>
      </c>
      <c r="C13">
        <v>6.8517440545676079E-5</v>
      </c>
      <c r="D13">
        <v>6.8517440545676079E-5</v>
      </c>
    </row>
    <row r="14" spans="1:9" ht="16" thickBot="1" x14ac:dyDescent="0.25">
      <c r="A14" s="8" t="s">
        <v>55</v>
      </c>
      <c r="B14" s="8">
        <v>10</v>
      </c>
      <c r="C14" s="8">
        <v>13.571296242484799</v>
      </c>
      <c r="D14" s="8"/>
      <c r="E14" s="8"/>
      <c r="F14" s="8"/>
    </row>
    <row r="15" spans="1:9" ht="16" thickBot="1" x14ac:dyDescent="0.25"/>
    <row r="16" spans="1:9" x14ac:dyDescent="0.2">
      <c r="A16" s="31"/>
      <c r="B16" s="31" t="s">
        <v>62</v>
      </c>
      <c r="C16" s="31" t="s">
        <v>50</v>
      </c>
      <c r="D16" s="31" t="s">
        <v>63</v>
      </c>
      <c r="E16" s="31" t="s">
        <v>64</v>
      </c>
      <c r="F16" s="31" t="s">
        <v>65</v>
      </c>
      <c r="G16" s="31" t="s">
        <v>66</v>
      </c>
      <c r="H16" s="31" t="s">
        <v>67</v>
      </c>
      <c r="I16" s="31" t="s">
        <v>68</v>
      </c>
    </row>
    <row r="17" spans="1:9" x14ac:dyDescent="0.2">
      <c r="A17" t="s">
        <v>56</v>
      </c>
      <c r="B17">
        <v>-2.0468294899862269</v>
      </c>
      <c r="C17">
        <v>9.8361395186887635E-2</v>
      </c>
      <c r="D17">
        <v>-20.80927670959964</v>
      </c>
      <c r="E17">
        <v>3.0569558186177907E-2</v>
      </c>
      <c r="F17">
        <v>-3.2966295153666101</v>
      </c>
      <c r="G17">
        <v>-0.79702946460584367</v>
      </c>
      <c r="H17">
        <v>-3.2966295153666101</v>
      </c>
      <c r="I17">
        <v>-0.79702946460584367</v>
      </c>
    </row>
    <row r="18" spans="1:9" x14ac:dyDescent="0.2">
      <c r="A18" t="s">
        <v>77</v>
      </c>
      <c r="B18">
        <v>0.48694109170303707</v>
      </c>
      <c r="C18">
        <v>2.8609701032058506E-2</v>
      </c>
      <c r="D18">
        <v>17.02013911845485</v>
      </c>
      <c r="E18">
        <v>3.7360960403916621E-2</v>
      </c>
      <c r="F18">
        <v>0.12342037294895299</v>
      </c>
      <c r="G18">
        <v>0.8504618104571211</v>
      </c>
      <c r="H18">
        <v>0.12342037294895299</v>
      </c>
      <c r="I18">
        <v>0.8504618104571211</v>
      </c>
    </row>
    <row r="19" spans="1:9" x14ac:dyDescent="0.2">
      <c r="A19" t="s">
        <v>78</v>
      </c>
      <c r="B19">
        <v>0.10831265824037697</v>
      </c>
      <c r="C19">
        <v>1.924475077870161E-3</v>
      </c>
      <c r="D19">
        <v>56.281663236838511</v>
      </c>
      <c r="E19">
        <v>1.1310127599728296E-2</v>
      </c>
      <c r="F19">
        <v>8.3859883891292952E-2</v>
      </c>
      <c r="G19">
        <v>0.132765432589461</v>
      </c>
      <c r="H19">
        <v>8.3859883891292952E-2</v>
      </c>
      <c r="I19">
        <v>0.132765432589461</v>
      </c>
    </row>
    <row r="20" spans="1:9" x14ac:dyDescent="0.2">
      <c r="A20" t="s">
        <v>79</v>
      </c>
      <c r="B20">
        <v>1.1118069323455011E-2</v>
      </c>
      <c r="C20">
        <v>1.3444302450754059E-2</v>
      </c>
      <c r="D20">
        <v>0.82697256805848074</v>
      </c>
      <c r="E20">
        <v>0.56011316808144951</v>
      </c>
      <c r="F20">
        <v>-0.15970799015088138</v>
      </c>
      <c r="G20">
        <v>0.1819441287977914</v>
      </c>
      <c r="H20">
        <v>-0.15970799015088138</v>
      </c>
      <c r="I20">
        <v>0.1819441287977914</v>
      </c>
    </row>
    <row r="21" spans="1:9" x14ac:dyDescent="0.2">
      <c r="A21" t="s">
        <v>80</v>
      </c>
      <c r="B21">
        <v>6.6373605731572277E-2</v>
      </c>
      <c r="C21">
        <v>1.7584555529340082E-3</v>
      </c>
      <c r="D21">
        <v>37.745398580491255</v>
      </c>
      <c r="E21">
        <v>1.6862211350678547E-2</v>
      </c>
      <c r="F21">
        <v>4.4030309456529478E-2</v>
      </c>
      <c r="G21">
        <v>8.8716902006615084E-2</v>
      </c>
      <c r="H21">
        <v>4.4030309456529478E-2</v>
      </c>
      <c r="I21">
        <v>8.8716902006615084E-2</v>
      </c>
    </row>
    <row r="22" spans="1:9" x14ac:dyDescent="0.2">
      <c r="A22" t="s">
        <v>81</v>
      </c>
      <c r="B22">
        <v>0.4523597316459208</v>
      </c>
      <c r="C22">
        <v>1.3105160757168773E-2</v>
      </c>
      <c r="D22">
        <v>34.517678953191883</v>
      </c>
      <c r="E22">
        <v>1.843813884579219E-2</v>
      </c>
      <c r="F22">
        <v>0.28584287596485208</v>
      </c>
      <c r="G22">
        <v>0.61887658732698958</v>
      </c>
      <c r="H22">
        <v>0.28584287596485208</v>
      </c>
      <c r="I22">
        <v>0.61887658732698958</v>
      </c>
    </row>
    <row r="23" spans="1:9" x14ac:dyDescent="0.2">
      <c r="A23" t="s">
        <v>82</v>
      </c>
      <c r="B23">
        <v>0.65454170781357679</v>
      </c>
      <c r="C23">
        <v>1.7892831380300903E-2</v>
      </c>
      <c r="D23">
        <v>36.581225961487227</v>
      </c>
      <c r="E23">
        <v>1.7398576699226988E-2</v>
      </c>
      <c r="F23">
        <v>0.42719172898562208</v>
      </c>
      <c r="G23">
        <v>0.8818916866415315</v>
      </c>
      <c r="H23">
        <v>0.42719172898562208</v>
      </c>
      <c r="I23">
        <v>0.8818916866415315</v>
      </c>
    </row>
    <row r="24" spans="1:9" x14ac:dyDescent="0.2">
      <c r="A24" t="s">
        <v>83</v>
      </c>
      <c r="B24">
        <v>-0.28798374672078386</v>
      </c>
      <c r="C24">
        <v>2.8738303313903871E-2</v>
      </c>
      <c r="D24">
        <v>-10.020902889609857</v>
      </c>
      <c r="E24">
        <v>6.3319552593357045E-2</v>
      </c>
      <c r="F24">
        <v>-0.6531385123975344</v>
      </c>
      <c r="G24">
        <v>7.7171018955966675E-2</v>
      </c>
      <c r="H24">
        <v>-0.6531385123975344</v>
      </c>
      <c r="I24">
        <v>7.7171018955966675E-2</v>
      </c>
    </row>
    <row r="25" spans="1:9" x14ac:dyDescent="0.2">
      <c r="A25" t="s">
        <v>84</v>
      </c>
      <c r="B25">
        <v>-2.6857732229577272E-3</v>
      </c>
      <c r="C25">
        <v>6.0097113874485594E-4</v>
      </c>
      <c r="D25">
        <v>-4.469055250418573</v>
      </c>
      <c r="E25">
        <v>0.14014214966337135</v>
      </c>
      <c r="F25">
        <v>-1.0321835552381921E-2</v>
      </c>
      <c r="G25">
        <v>4.9502891064664659E-3</v>
      </c>
      <c r="H25">
        <v>-1.0321835552381921E-2</v>
      </c>
      <c r="I25">
        <v>4.9502891064664659E-3</v>
      </c>
    </row>
    <row r="26" spans="1:9" ht="16" thickBot="1" x14ac:dyDescent="0.25">
      <c r="A26" s="8" t="s">
        <v>85</v>
      </c>
      <c r="B26" s="8">
        <v>-2.4748316802878456</v>
      </c>
      <c r="C26" s="8">
        <v>2.0805678610037699E-2</v>
      </c>
      <c r="D26" s="8">
        <v>-118.9498178201149</v>
      </c>
      <c r="E26" s="8">
        <v>5.3518768396672786E-3</v>
      </c>
      <c r="F26" s="8">
        <v>-2.7391928923820354</v>
      </c>
      <c r="G26" s="8">
        <v>-2.2104704681936558</v>
      </c>
      <c r="H26" s="8">
        <v>-2.7391928923820354</v>
      </c>
      <c r="I26" s="8">
        <v>-2.2104704681936558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CA68-BEC8-E148-BEE5-93714F27151A}">
  <dimension ref="A1:R201"/>
  <sheetViews>
    <sheetView workbookViewId="0">
      <pane xSplit="2" topLeftCell="C1" activePane="topRight" state="frozen"/>
      <selection activeCell="B17" sqref="B17:B25"/>
      <selection pane="topRight" activeCell="D188" sqref="D188"/>
    </sheetView>
  </sheetViews>
  <sheetFormatPr baseColWidth="10" defaultColWidth="8.83203125" defaultRowHeight="15" x14ac:dyDescent="0.2"/>
  <cols>
    <col min="2" max="2" width="8.83203125" style="6"/>
    <col min="3" max="3" width="13.83203125" bestFit="1" customWidth="1"/>
    <col min="4" max="4" width="15.6640625" bestFit="1" customWidth="1"/>
    <col min="5" max="5" width="12.6640625" bestFit="1" customWidth="1"/>
    <col min="6" max="6" width="14.1640625" bestFit="1" customWidth="1"/>
    <col min="8" max="8" width="12.6640625" bestFit="1" customWidth="1"/>
    <col min="9" max="10" width="11" bestFit="1" customWidth="1"/>
    <col min="13" max="13" width="8.83203125" style="10"/>
  </cols>
  <sheetData>
    <row r="1" spans="1:13" ht="16" thickBot="1" x14ac:dyDescent="0.25">
      <c r="A1" t="s">
        <v>44</v>
      </c>
      <c r="B1" s="1" t="s">
        <v>23</v>
      </c>
      <c r="C1" s="2" t="s">
        <v>24</v>
      </c>
      <c r="D1" s="2" t="s">
        <v>31</v>
      </c>
      <c r="E1" s="2" t="s">
        <v>30</v>
      </c>
      <c r="F1" s="2" t="s">
        <v>34</v>
      </c>
      <c r="G1" s="2" t="s">
        <v>25</v>
      </c>
      <c r="H1" s="2" t="s">
        <v>33</v>
      </c>
      <c r="I1" s="2" t="s">
        <v>36</v>
      </c>
      <c r="J1" s="2" t="s">
        <v>26</v>
      </c>
      <c r="K1" s="2" t="s">
        <v>69</v>
      </c>
      <c r="L1" s="2" t="s">
        <v>35</v>
      </c>
      <c r="M1" s="29" t="s">
        <v>40</v>
      </c>
    </row>
    <row r="2" spans="1:13" x14ac:dyDescent="0.2">
      <c r="A2" s="26">
        <v>1</v>
      </c>
      <c r="B2" s="5">
        <f>Sheet1!B2</f>
        <v>1927</v>
      </c>
      <c r="C2" s="5" t="s">
        <v>16</v>
      </c>
      <c r="D2" s="5">
        <v>0.28199117065002199</v>
      </c>
      <c r="E2" s="5">
        <v>0.37353791975851802</v>
      </c>
      <c r="F2" s="5">
        <v>-1.3506501825635699</v>
      </c>
      <c r="G2" s="5">
        <v>4.0868555503947901</v>
      </c>
      <c r="H2" s="5">
        <v>11.9874687574896</v>
      </c>
      <c r="I2" s="5">
        <v>0.230647024841132</v>
      </c>
      <c r="J2" s="5">
        <v>-7.2862341950250098E-2</v>
      </c>
      <c r="K2" s="5">
        <v>7.0000000000000007E-2</v>
      </c>
      <c r="L2" s="5">
        <v>4.1054954931141001</v>
      </c>
      <c r="M2" s="9">
        <v>0</v>
      </c>
    </row>
    <row r="3" spans="1:13" x14ac:dyDescent="0.2">
      <c r="A3" s="27">
        <v>1</v>
      </c>
      <c r="B3">
        <f>B2+1</f>
        <v>1928</v>
      </c>
      <c r="C3" t="s">
        <v>16</v>
      </c>
      <c r="D3">
        <v>0.71689754909422998</v>
      </c>
      <c r="E3">
        <v>-2.5589234058608898</v>
      </c>
      <c r="F3">
        <v>-0.39971814746012702</v>
      </c>
      <c r="G3">
        <v>4.0350263653998502</v>
      </c>
      <c r="H3">
        <v>12.066901770123501</v>
      </c>
      <c r="I3">
        <v>6.4975207009435696</v>
      </c>
      <c r="J3">
        <v>-0.24342475518703499</v>
      </c>
      <c r="K3">
        <v>0.10452099454024188</v>
      </c>
      <c r="L3">
        <v>9.4221670058946501</v>
      </c>
      <c r="M3" s="10">
        <v>7.5434606196456144E-4</v>
      </c>
    </row>
    <row r="4" spans="1:13" x14ac:dyDescent="0.2">
      <c r="A4" s="27">
        <v>1</v>
      </c>
      <c r="B4">
        <f t="shared" ref="B4:B11" si="0">B3+1</f>
        <v>1929</v>
      </c>
      <c r="C4" t="s">
        <v>16</v>
      </c>
      <c r="D4">
        <v>0.73836200334906299</v>
      </c>
      <c r="E4">
        <v>-0.45126399195069999</v>
      </c>
      <c r="F4">
        <v>-1.8073794119531099</v>
      </c>
      <c r="G4">
        <v>5.4156717029589299</v>
      </c>
      <c r="H4">
        <v>12.286369705892399</v>
      </c>
      <c r="I4">
        <v>2.5388744463701101</v>
      </c>
      <c r="J4">
        <v>-3.8194574719543697E-2</v>
      </c>
      <c r="K4">
        <v>5.2382645803698225E-2</v>
      </c>
      <c r="L4">
        <v>7.1643625598054497</v>
      </c>
      <c r="M4" s="10">
        <v>-1.2403065361639154E-2</v>
      </c>
    </row>
    <row r="5" spans="1:13" x14ac:dyDescent="0.2">
      <c r="A5" s="27">
        <v>1</v>
      </c>
      <c r="B5">
        <f t="shared" si="0"/>
        <v>1930</v>
      </c>
      <c r="C5" t="s">
        <v>16</v>
      </c>
      <c r="D5">
        <v>0.26495661440097401</v>
      </c>
      <c r="E5">
        <v>0.236574015847061</v>
      </c>
      <c r="F5">
        <v>-1.28755364806867</v>
      </c>
      <c r="G5">
        <v>2.1033851534111001</v>
      </c>
      <c r="H5">
        <v>11.6440579313178</v>
      </c>
      <c r="I5">
        <v>0.75568072405160702</v>
      </c>
      <c r="J5">
        <v>-2.2639102540051699</v>
      </c>
      <c r="K5">
        <v>-0.14329965419750101</v>
      </c>
      <c r="L5">
        <v>8.8740715286405205</v>
      </c>
      <c r="M5" s="10">
        <v>0</v>
      </c>
    </row>
    <row r="6" spans="1:13" x14ac:dyDescent="0.2">
      <c r="A6" s="27">
        <v>1</v>
      </c>
      <c r="B6">
        <f t="shared" si="0"/>
        <v>1931</v>
      </c>
      <c r="C6" t="s">
        <v>16</v>
      </c>
      <c r="D6">
        <v>-1.7358958745623301</v>
      </c>
      <c r="E6">
        <v>-3.4323984404477401</v>
      </c>
      <c r="F6">
        <v>2.6683108064826002</v>
      </c>
      <c r="G6">
        <v>4.5810496980956801</v>
      </c>
      <c r="H6">
        <v>12.0754613620022</v>
      </c>
      <c r="I6">
        <v>-3.7844454072790299</v>
      </c>
      <c r="J6">
        <v>-2.1523280681349202</v>
      </c>
      <c r="K6">
        <v>-0.26832507198548572</v>
      </c>
      <c r="L6">
        <v>11.496788348180001</v>
      </c>
      <c r="M6" s="10">
        <v>7.1698680513221369E-4</v>
      </c>
    </row>
    <row r="7" spans="1:13" x14ac:dyDescent="0.2">
      <c r="A7" s="27">
        <v>1</v>
      </c>
      <c r="B7">
        <f t="shared" si="0"/>
        <v>1932</v>
      </c>
      <c r="C7" t="s">
        <v>16</v>
      </c>
      <c r="D7">
        <v>-2.8903638301111201</v>
      </c>
      <c r="E7">
        <v>-1.2077726072192201</v>
      </c>
      <c r="F7">
        <v>4.1531612324642797</v>
      </c>
      <c r="G7">
        <v>0.56457473839512495</v>
      </c>
      <c r="H7">
        <v>11.5249084123668</v>
      </c>
      <c r="I7">
        <v>-5.3918977469670697</v>
      </c>
      <c r="J7">
        <v>1.1567178178816599</v>
      </c>
      <c r="K7">
        <v>-0.34911678556667713</v>
      </c>
      <c r="L7">
        <v>-10.3746927123258</v>
      </c>
      <c r="M7" s="10">
        <v>0.21327786444791319</v>
      </c>
    </row>
    <row r="8" spans="1:13" x14ac:dyDescent="0.2">
      <c r="A8" s="27">
        <v>1</v>
      </c>
      <c r="B8">
        <f t="shared" si="0"/>
        <v>1933</v>
      </c>
      <c r="C8" t="s">
        <v>16</v>
      </c>
      <c r="D8">
        <v>-3.0129852336733101</v>
      </c>
      <c r="E8">
        <v>-3.2369513268771199</v>
      </c>
      <c r="F8">
        <v>3.39312023573122</v>
      </c>
      <c r="G8">
        <v>9.1035764050161505E-2</v>
      </c>
      <c r="H8">
        <v>11.785804772828399</v>
      </c>
      <c r="I8">
        <v>0.60201232428268903</v>
      </c>
      <c r="J8">
        <v>-2.5143886241698801</v>
      </c>
      <c r="K8">
        <v>0.62046878882416534</v>
      </c>
      <c r="L8">
        <v>-15.595411170733</v>
      </c>
      <c r="M8" s="10">
        <v>9.3550875789350174E-2</v>
      </c>
    </row>
    <row r="9" spans="1:13" x14ac:dyDescent="0.2">
      <c r="A9" s="27">
        <v>1</v>
      </c>
      <c r="B9">
        <f t="shared" si="0"/>
        <v>1934</v>
      </c>
      <c r="C9" t="s">
        <v>16</v>
      </c>
      <c r="D9">
        <v>-1.09196224691733</v>
      </c>
      <c r="E9">
        <v>-0.68029178719658001</v>
      </c>
      <c r="F9">
        <v>-0.16174492345140801</v>
      </c>
      <c r="G9">
        <v>0.85183464932652098</v>
      </c>
      <c r="H9">
        <v>13.4751258260006</v>
      </c>
      <c r="I9">
        <v>7.2357019064124799</v>
      </c>
      <c r="J9">
        <v>-2.3576332870596102</v>
      </c>
      <c r="K9">
        <v>0.29522105801175447</v>
      </c>
      <c r="L9">
        <v>0</v>
      </c>
      <c r="M9" s="10">
        <v>9.0616916202871156E-2</v>
      </c>
    </row>
    <row r="10" spans="1:13" x14ac:dyDescent="0.2">
      <c r="A10" s="27">
        <v>1</v>
      </c>
      <c r="B10">
        <f>B9+1</f>
        <v>1935</v>
      </c>
      <c r="C10" t="s">
        <v>16</v>
      </c>
      <c r="D10">
        <v>-0.51255898919165699</v>
      </c>
      <c r="E10">
        <v>-0.33014715130172601</v>
      </c>
      <c r="F10">
        <v>-5.11594388572159</v>
      </c>
      <c r="G10">
        <v>0.20827299800551899</v>
      </c>
      <c r="H10">
        <v>12.7872770226315</v>
      </c>
      <c r="I10">
        <v>4.8211534758328503</v>
      </c>
      <c r="J10">
        <v>-2.4581848197200999</v>
      </c>
      <c r="K10">
        <v>1.62187758967689E-2</v>
      </c>
      <c r="L10">
        <v>-7.5731542914539304E-2</v>
      </c>
      <c r="M10" s="10">
        <v>0.11993579146601552</v>
      </c>
    </row>
    <row r="11" spans="1:13" ht="16" thickBot="1" x14ac:dyDescent="0.25">
      <c r="A11" s="27">
        <v>1</v>
      </c>
      <c r="B11" s="8">
        <f t="shared" si="0"/>
        <v>1936</v>
      </c>
      <c r="C11" s="8" t="s">
        <v>16</v>
      </c>
      <c r="D11" s="8">
        <v>-1.51773481504031E-2</v>
      </c>
      <c r="E11" s="8">
        <v>0.87385234561689895</v>
      </c>
      <c r="F11" s="8">
        <v>-6.4163090128755398</v>
      </c>
      <c r="G11" s="8">
        <v>0.49323788967514398</v>
      </c>
      <c r="H11" s="8">
        <v>12.641079193344</v>
      </c>
      <c r="I11" s="8">
        <v>3.8526381667629499</v>
      </c>
      <c r="J11" s="8">
        <v>-2.4396503207893998</v>
      </c>
      <c r="K11" s="8">
        <v>0.10247747747747749</v>
      </c>
      <c r="L11" s="8">
        <v>2.27221062091935</v>
      </c>
      <c r="M11" s="11">
        <v>4.1245052946838223E-2</v>
      </c>
    </row>
    <row r="12" spans="1:13" x14ac:dyDescent="0.2">
      <c r="A12" s="27">
        <v>1</v>
      </c>
      <c r="B12">
        <v>1926</v>
      </c>
      <c r="C12" t="s">
        <v>29</v>
      </c>
      <c r="D12" cm="1">
        <f t="array" ref="D12:F12">D13:F13</f>
        <v>0.8</v>
      </c>
      <c r="E12">
        <v>2.5</v>
      </c>
      <c r="F12">
        <v>0.7</v>
      </c>
      <c r="G12">
        <v>3.4284084185613999</v>
      </c>
      <c r="H12">
        <v>6.8628771236562596</v>
      </c>
      <c r="I12">
        <v>6.38931749677048</v>
      </c>
      <c r="J12">
        <v>-0.18629352450776401</v>
      </c>
      <c r="K12">
        <v>7.0000000000000007E-2</v>
      </c>
      <c r="L12">
        <v>8.7125748502994007</v>
      </c>
      <c r="M12" s="10">
        <v>0</v>
      </c>
    </row>
    <row r="13" spans="1:13" x14ac:dyDescent="0.2">
      <c r="A13" s="27">
        <v>1</v>
      </c>
      <c r="B13">
        <f>B12+1</f>
        <v>1927</v>
      </c>
      <c r="C13" t="s">
        <v>29</v>
      </c>
      <c r="D13">
        <v>0.8</v>
      </c>
      <c r="E13">
        <v>2.5</v>
      </c>
      <c r="F13">
        <v>0.7</v>
      </c>
      <c r="G13">
        <v>2.7180289071084398</v>
      </c>
      <c r="H13">
        <v>6.6657914234833804</v>
      </c>
      <c r="I13">
        <v>1.22344624659107</v>
      </c>
      <c r="J13">
        <v>0.17969313254602201</v>
      </c>
      <c r="K13">
        <v>0.24423258860344887</v>
      </c>
      <c r="L13">
        <v>2.6497005988023901</v>
      </c>
      <c r="M13" s="10">
        <v>0</v>
      </c>
    </row>
    <row r="14" spans="1:13" x14ac:dyDescent="0.2">
      <c r="A14" s="27">
        <v>1</v>
      </c>
      <c r="B14">
        <f t="shared" ref="B14:B22" si="1">B13+1</f>
        <v>1928</v>
      </c>
      <c r="C14" t="s">
        <v>29</v>
      </c>
      <c r="D14">
        <v>1.05</v>
      </c>
      <c r="E14">
        <v>2</v>
      </c>
      <c r="F14">
        <v>2.2000000000000002</v>
      </c>
      <c r="G14">
        <v>4.5280830022821403</v>
      </c>
      <c r="H14">
        <v>6.5768025893332904</v>
      </c>
      <c r="I14">
        <v>1.02456222190325</v>
      </c>
      <c r="J14">
        <v>1.0362006112978399</v>
      </c>
      <c r="K14">
        <v>0.32704568052874894</v>
      </c>
      <c r="L14">
        <v>3.4580838323353298</v>
      </c>
      <c r="M14" s="10">
        <v>7.5434606196456144E-4</v>
      </c>
    </row>
    <row r="15" spans="1:13" x14ac:dyDescent="0.2">
      <c r="A15" s="27">
        <v>1</v>
      </c>
      <c r="B15">
        <f t="shared" si="1"/>
        <v>1929</v>
      </c>
      <c r="C15" t="s">
        <v>29</v>
      </c>
      <c r="D15">
        <v>1.3</v>
      </c>
      <c r="E15">
        <v>3.8</v>
      </c>
      <c r="F15">
        <v>2.35</v>
      </c>
      <c r="G15">
        <v>3.16780069309441</v>
      </c>
      <c r="H15">
        <v>6.4366770222667</v>
      </c>
      <c r="I15">
        <v>6.4649418688100999</v>
      </c>
      <c r="J15">
        <v>2.1251434315945499</v>
      </c>
      <c r="K15">
        <v>0.4855543557308708</v>
      </c>
      <c r="L15">
        <v>0.76347305389222697</v>
      </c>
      <c r="M15" s="10">
        <v>-1.2403065361639154E-2</v>
      </c>
    </row>
    <row r="16" spans="1:13" x14ac:dyDescent="0.2">
      <c r="A16" s="27">
        <v>1</v>
      </c>
      <c r="B16">
        <f t="shared" si="1"/>
        <v>1930</v>
      </c>
      <c r="C16" t="s">
        <v>29</v>
      </c>
      <c r="D16">
        <v>0.1</v>
      </c>
      <c r="E16">
        <v>1.27</v>
      </c>
      <c r="F16">
        <v>4.6500000000000004</v>
      </c>
      <c r="G16">
        <v>1.66139802214521</v>
      </c>
      <c r="H16">
        <v>6.4688877045664297</v>
      </c>
      <c r="I16">
        <v>-6.1532941007607302</v>
      </c>
      <c r="J16">
        <v>5.4610627646502097E-2</v>
      </c>
      <c r="K16">
        <v>-0.29784898383028935</v>
      </c>
      <c r="L16">
        <v>3.9970059880239499</v>
      </c>
      <c r="M16" s="10">
        <v>0</v>
      </c>
    </row>
    <row r="17" spans="1:18" x14ac:dyDescent="0.2">
      <c r="A17" s="27">
        <v>1</v>
      </c>
      <c r="B17">
        <f t="shared" si="1"/>
        <v>1931</v>
      </c>
      <c r="C17" t="s">
        <v>29</v>
      </c>
      <c r="D17">
        <v>-2.48</v>
      </c>
      <c r="E17">
        <v>-6.7</v>
      </c>
      <c r="F17">
        <v>13</v>
      </c>
      <c r="G17">
        <v>1.5402544163637899</v>
      </c>
      <c r="H17">
        <v>7.4710584809764597</v>
      </c>
      <c r="I17">
        <v>-7.0196103057269896</v>
      </c>
      <c r="J17">
        <v>-1.6258694747103399</v>
      </c>
      <c r="K17">
        <v>-0.34993239246175956</v>
      </c>
      <c r="L17">
        <v>15.0449101796407</v>
      </c>
      <c r="M17" s="10">
        <v>7.1698680513221369E-4</v>
      </c>
    </row>
    <row r="18" spans="1:18" x14ac:dyDescent="0.2">
      <c r="A18" s="27">
        <v>1</v>
      </c>
      <c r="B18">
        <f t="shared" si="1"/>
        <v>1932</v>
      </c>
      <c r="C18" t="s">
        <v>29</v>
      </c>
      <c r="D18">
        <v>-3.4</v>
      </c>
      <c r="E18">
        <v>-8.9</v>
      </c>
      <c r="F18">
        <v>27.8</v>
      </c>
      <c r="G18">
        <v>3.4422280449666297E-2</v>
      </c>
      <c r="H18">
        <v>9.1642120861551195</v>
      </c>
      <c r="I18">
        <v>-11.89805511698</v>
      </c>
      <c r="J18">
        <v>-2.1910864245169002</v>
      </c>
      <c r="K18">
        <v>-0.43459325944944782</v>
      </c>
      <c r="L18">
        <v>23.802395209580801</v>
      </c>
      <c r="M18" s="10">
        <v>0.21327786444791319</v>
      </c>
    </row>
    <row r="19" spans="1:18" x14ac:dyDescent="0.2">
      <c r="A19" s="27">
        <v>1</v>
      </c>
      <c r="B19">
        <f t="shared" si="1"/>
        <v>1933</v>
      </c>
      <c r="C19" t="s">
        <v>29</v>
      </c>
      <c r="D19">
        <v>-3</v>
      </c>
      <c r="E19">
        <v>-6.2</v>
      </c>
      <c r="F19">
        <v>30</v>
      </c>
      <c r="G19">
        <v>0.121967711943201</v>
      </c>
      <c r="H19">
        <v>9.7398187986637303</v>
      </c>
      <c r="I19">
        <v>-2.8285129898090902</v>
      </c>
      <c r="J19">
        <v>-3.3231044182008298</v>
      </c>
      <c r="K19">
        <v>0.36770707593263641</v>
      </c>
      <c r="L19">
        <v>-3.4131736526946002</v>
      </c>
      <c r="M19" s="10">
        <v>9.3550875789350174E-2</v>
      </c>
    </row>
    <row r="20" spans="1:18" x14ac:dyDescent="0.2">
      <c r="A20" s="27">
        <v>1</v>
      </c>
      <c r="B20">
        <f t="shared" si="1"/>
        <v>1934</v>
      </c>
      <c r="C20" t="s">
        <v>29</v>
      </c>
      <c r="D20">
        <v>-2.1</v>
      </c>
      <c r="E20">
        <v>6.2</v>
      </c>
      <c r="F20">
        <v>13.1</v>
      </c>
      <c r="G20">
        <v>0.14675428957822501</v>
      </c>
      <c r="H20">
        <v>11.1685536389751</v>
      </c>
      <c r="I20">
        <v>9.2035668149849297</v>
      </c>
      <c r="J20">
        <v>-3.10303719574731</v>
      </c>
      <c r="K20">
        <v>-0.10628729931915759</v>
      </c>
      <c r="L20">
        <v>-9.4760479041916099</v>
      </c>
      <c r="M20" s="10">
        <v>9.0616916202871156E-2</v>
      </c>
    </row>
    <row r="21" spans="1:18" x14ac:dyDescent="0.2">
      <c r="A21" s="27">
        <v>1</v>
      </c>
      <c r="B21">
        <f t="shared" si="1"/>
        <v>1935</v>
      </c>
      <c r="C21" t="s">
        <v>29</v>
      </c>
      <c r="D21">
        <v>-1.4</v>
      </c>
      <c r="E21">
        <v>5.9</v>
      </c>
      <c r="F21">
        <v>-8.1999999999999993</v>
      </c>
      <c r="G21">
        <v>2.44696137266497E-2</v>
      </c>
      <c r="H21">
        <v>11.7441603514837</v>
      </c>
      <c r="I21">
        <v>9.5792665422707</v>
      </c>
      <c r="J21">
        <v>-3.02888940789407</v>
      </c>
      <c r="K21">
        <v>0.2711497766282629</v>
      </c>
      <c r="L21">
        <v>-2.4700598802395102</v>
      </c>
      <c r="M21" s="10">
        <v>0.11993579146601552</v>
      </c>
    </row>
    <row r="22" spans="1:18" ht="16" thickBot="1" x14ac:dyDescent="0.25">
      <c r="A22" s="27">
        <v>1</v>
      </c>
      <c r="B22">
        <f t="shared" si="1"/>
        <v>1936</v>
      </c>
      <c r="C22" t="s">
        <v>29</v>
      </c>
      <c r="D22">
        <v>-0.18</v>
      </c>
      <c r="E22">
        <v>5.8</v>
      </c>
      <c r="F22">
        <v>-19.399999999999999</v>
      </c>
      <c r="G22">
        <v>0.13337841264474701</v>
      </c>
      <c r="H22">
        <v>12.685003444645201</v>
      </c>
      <c r="I22">
        <v>12.343458446964201</v>
      </c>
      <c r="J22">
        <v>-2.7934077315976</v>
      </c>
      <c r="K22">
        <v>0.22463097924605213</v>
      </c>
      <c r="L22">
        <v>-6.6467065868263298</v>
      </c>
      <c r="M22" s="10">
        <v>4.1245052946838223E-2</v>
      </c>
    </row>
    <row r="23" spans="1:18" x14ac:dyDescent="0.2">
      <c r="A23" s="27">
        <v>1</v>
      </c>
      <c r="B23" s="5">
        <v>1925</v>
      </c>
      <c r="C23" s="5" t="s">
        <v>0</v>
      </c>
      <c r="D23" s="5">
        <v>-0.63710639860460805</v>
      </c>
      <c r="E23" s="5">
        <v>-1.3471613896480501</v>
      </c>
      <c r="F23" s="5">
        <v>4.5235065606696603</v>
      </c>
      <c r="G23" s="5">
        <v>5.8362351318738099</v>
      </c>
      <c r="H23" s="5">
        <v>19.750707076942675</v>
      </c>
      <c r="I23" s="5">
        <v>3.0641391265447502</v>
      </c>
      <c r="J23" s="5">
        <v>1.1144459489716401</v>
      </c>
      <c r="K23" s="5">
        <v>0.1</v>
      </c>
      <c r="L23" s="5">
        <v>5.6039790452645803</v>
      </c>
      <c r="M23" s="9">
        <v>0</v>
      </c>
      <c r="R23" s="30"/>
    </row>
    <row r="24" spans="1:18" x14ac:dyDescent="0.2">
      <c r="A24" s="27">
        <v>1</v>
      </c>
      <c r="B24">
        <f>B23+1</f>
        <v>1926</v>
      </c>
      <c r="C24" t="s">
        <v>0</v>
      </c>
      <c r="D24">
        <v>0.27741439456531503</v>
      </c>
      <c r="E24">
        <v>-9.0513300951176205</v>
      </c>
      <c r="F24">
        <v>3.9543699712557299</v>
      </c>
      <c r="G24">
        <v>6.5147388381313496</v>
      </c>
      <c r="H24">
        <v>19.544149578824754</v>
      </c>
      <c r="I24">
        <v>2.6749426829950198</v>
      </c>
      <c r="J24">
        <v>1.0099583115650701</v>
      </c>
      <c r="K24">
        <v>0.35974794729807291</v>
      </c>
      <c r="L24">
        <v>11.061628112307901</v>
      </c>
      <c r="M24" s="10">
        <v>-0.10355048650042475</v>
      </c>
      <c r="R24" s="30"/>
    </row>
    <row r="25" spans="1:18" x14ac:dyDescent="0.2">
      <c r="A25" s="27">
        <v>1</v>
      </c>
      <c r="B25">
        <f t="shared" ref="B25:B34" si="2">B24+1</f>
        <v>1927</v>
      </c>
      <c r="C25" t="s">
        <v>0</v>
      </c>
      <c r="D25">
        <v>0.98421004314697402</v>
      </c>
      <c r="E25">
        <v>-5.5497607141578396</v>
      </c>
      <c r="F25">
        <v>3.4443335297725701</v>
      </c>
      <c r="G25">
        <v>5.3245992070332697</v>
      </c>
      <c r="H25">
        <v>18.91576958245636</v>
      </c>
      <c r="I25">
        <v>1.58675837387463</v>
      </c>
      <c r="J25">
        <v>0.369065262125367</v>
      </c>
      <c r="K25">
        <v>3.507622212860162E-2</v>
      </c>
      <c r="L25">
        <v>13.2974277473659</v>
      </c>
      <c r="M25" s="10">
        <v>-9.1072455434150767E-2</v>
      </c>
      <c r="R25" s="30"/>
    </row>
    <row r="26" spans="1:18" x14ac:dyDescent="0.2">
      <c r="A26" s="27">
        <v>1</v>
      </c>
      <c r="B26">
        <f t="shared" si="2"/>
        <v>1928</v>
      </c>
      <c r="C26" t="s">
        <v>0</v>
      </c>
      <c r="D26">
        <v>0.48955751399981601</v>
      </c>
      <c r="E26">
        <v>-4.7742597653685896</v>
      </c>
      <c r="F26">
        <v>4.0489735047566402</v>
      </c>
      <c r="G26">
        <v>2.2768488191691101</v>
      </c>
      <c r="H26">
        <v>16.95105109659233</v>
      </c>
      <c r="I26">
        <v>5.0481462841804996</v>
      </c>
      <c r="J26">
        <v>-2.9860540990073599</v>
      </c>
      <c r="K26">
        <v>-9.7863937169301307E-2</v>
      </c>
      <c r="L26">
        <v>8.7514273941962397</v>
      </c>
      <c r="M26" s="10">
        <v>3.9936733886912323E-2</v>
      </c>
      <c r="R26" s="30"/>
    </row>
    <row r="27" spans="1:18" x14ac:dyDescent="0.2">
      <c r="A27" s="27">
        <v>1</v>
      </c>
      <c r="B27">
        <f t="shared" si="2"/>
        <v>1929</v>
      </c>
      <c r="C27" t="s">
        <v>0</v>
      </c>
      <c r="D27">
        <v>0.50747039383089998</v>
      </c>
      <c r="E27">
        <v>1.9012781802341501</v>
      </c>
      <c r="F27">
        <v>4.4633239924471102</v>
      </c>
      <c r="G27">
        <v>2.5512842613342501</v>
      </c>
      <c r="H27">
        <v>16.437180721761184</v>
      </c>
      <c r="I27">
        <v>5.3165576245596302</v>
      </c>
      <c r="J27">
        <v>-2.7331513684681799</v>
      </c>
      <c r="K27">
        <v>-4.6319659119392065E-2</v>
      </c>
      <c r="L27">
        <v>6.9149449643886998</v>
      </c>
      <c r="M27" s="10">
        <v>-9.5817490494334301E-3</v>
      </c>
      <c r="R27" s="30"/>
    </row>
    <row r="28" spans="1:18" x14ac:dyDescent="0.2">
      <c r="A28" s="27">
        <v>1</v>
      </c>
      <c r="B28">
        <f t="shared" si="2"/>
        <v>1930</v>
      </c>
      <c r="C28" t="s">
        <v>0</v>
      </c>
      <c r="D28">
        <v>-0.19105159276599601</v>
      </c>
      <c r="E28">
        <v>-2.1122793617453</v>
      </c>
      <c r="F28">
        <v>5.7992471165526096</v>
      </c>
      <c r="G28">
        <v>2.8829512153076999</v>
      </c>
      <c r="H28">
        <v>17.380328812644493</v>
      </c>
      <c r="I28">
        <v>0.475088072471052</v>
      </c>
      <c r="J28">
        <v>-2.4454905054856</v>
      </c>
      <c r="K28">
        <v>-0.17412787132269247</v>
      </c>
      <c r="L28">
        <v>10.3392783565836</v>
      </c>
      <c r="M28" s="10">
        <v>3.877457002457052E-2</v>
      </c>
      <c r="R28" s="30"/>
    </row>
    <row r="29" spans="1:18" x14ac:dyDescent="0.2">
      <c r="A29" s="27">
        <v>1</v>
      </c>
      <c r="B29">
        <f t="shared" si="2"/>
        <v>1931</v>
      </c>
      <c r="C29" t="s">
        <v>0</v>
      </c>
      <c r="D29">
        <v>-1.88859818231892</v>
      </c>
      <c r="E29">
        <v>-15.9663925719946</v>
      </c>
      <c r="F29">
        <v>10.0717764922366</v>
      </c>
      <c r="G29">
        <v>2.0355111187726198</v>
      </c>
      <c r="H29">
        <v>18.496436974789916</v>
      </c>
      <c r="I29">
        <v>-3.9872504613319899</v>
      </c>
      <c r="J29">
        <v>-2.51415381006706</v>
      </c>
      <c r="K29">
        <v>-0.11155192532088642</v>
      </c>
      <c r="L29">
        <v>3.17982223791864</v>
      </c>
      <c r="M29" s="10">
        <v>-9.4020252790299574E-2</v>
      </c>
      <c r="R29" s="30"/>
    </row>
    <row r="30" spans="1:18" x14ac:dyDescent="0.2">
      <c r="A30" s="27">
        <v>1</v>
      </c>
      <c r="B30">
        <f t="shared" si="2"/>
        <v>1932</v>
      </c>
      <c r="C30" t="s">
        <v>0</v>
      </c>
      <c r="D30">
        <v>-1.35185440190948</v>
      </c>
      <c r="E30">
        <v>-2.5465742144144401</v>
      </c>
      <c r="F30">
        <v>11.0033073953359</v>
      </c>
      <c r="G30">
        <v>6.0410274090674001</v>
      </c>
      <c r="H30">
        <v>17.804252833434241</v>
      </c>
      <c r="I30">
        <v>4.21607112900519</v>
      </c>
      <c r="J30">
        <v>5.9760531394267902E-2</v>
      </c>
      <c r="K30">
        <v>-0.16343100031043301</v>
      </c>
      <c r="L30">
        <v>13.9039378421331</v>
      </c>
      <c r="M30" s="10">
        <v>0.44358325854613523</v>
      </c>
      <c r="R30" s="30"/>
    </row>
    <row r="31" spans="1:18" x14ac:dyDescent="0.2">
      <c r="A31" s="27">
        <v>1</v>
      </c>
      <c r="B31">
        <f t="shared" si="2"/>
        <v>1933</v>
      </c>
      <c r="C31" t="s">
        <v>0</v>
      </c>
      <c r="D31">
        <v>1.2409345451207101</v>
      </c>
      <c r="E31">
        <v>5.7999069112434398</v>
      </c>
      <c r="F31">
        <v>8.5501100460630006</v>
      </c>
      <c r="G31">
        <v>3.1415273228753602</v>
      </c>
      <c r="H31">
        <v>16.883734232380775</v>
      </c>
      <c r="I31">
        <v>9.2398367164345903</v>
      </c>
      <c r="J31">
        <v>-2.1166743077693999</v>
      </c>
      <c r="K31">
        <v>-0.13170439300088599</v>
      </c>
      <c r="L31">
        <v>-43.374536464771303</v>
      </c>
      <c r="M31" s="10">
        <v>0.65813270035039917</v>
      </c>
      <c r="R31" s="30"/>
    </row>
    <row r="32" spans="1:18" x14ac:dyDescent="0.2">
      <c r="A32" s="27">
        <v>1</v>
      </c>
      <c r="B32">
        <f t="shared" si="2"/>
        <v>1934</v>
      </c>
      <c r="C32" t="s">
        <v>0</v>
      </c>
      <c r="D32">
        <v>2.9095634811346698</v>
      </c>
      <c r="E32">
        <v>2.7899177715983701</v>
      </c>
      <c r="F32">
        <v>1.7258830745547</v>
      </c>
      <c r="G32">
        <v>2.3988967419410399</v>
      </c>
      <c r="H32">
        <v>17.189610757199482</v>
      </c>
      <c r="I32">
        <v>5.5301683162780204</v>
      </c>
      <c r="J32">
        <v>-2.2563465577720598</v>
      </c>
      <c r="K32">
        <v>0.73233834116835195</v>
      </c>
      <c r="L32">
        <v>-25.643534051444998</v>
      </c>
      <c r="M32" s="10">
        <v>0.16213913221309362</v>
      </c>
      <c r="R32" s="30"/>
    </row>
    <row r="33" spans="1:18" x14ac:dyDescent="0.2">
      <c r="A33" s="27">
        <v>1</v>
      </c>
      <c r="B33">
        <f t="shared" si="2"/>
        <v>1935</v>
      </c>
      <c r="C33" t="s">
        <v>0</v>
      </c>
      <c r="D33">
        <v>1.5912397870191799</v>
      </c>
      <c r="E33">
        <v>1.50242866178945</v>
      </c>
      <c r="F33">
        <v>-2.38017006025472</v>
      </c>
      <c r="G33">
        <v>2.28029650060334</v>
      </c>
      <c r="H33">
        <v>17.015250927887067</v>
      </c>
      <c r="I33">
        <v>2.43784599899345</v>
      </c>
      <c r="J33">
        <v>-2.2188163043362299</v>
      </c>
      <c r="K33">
        <v>-0.15278199483831834</v>
      </c>
      <c r="L33">
        <v>-27.480016481252498</v>
      </c>
      <c r="M33" s="10">
        <v>3.4549507273583968E-2</v>
      </c>
      <c r="R33" s="30"/>
    </row>
    <row r="34" spans="1:18" ht="16" thickBot="1" x14ac:dyDescent="0.25">
      <c r="A34" s="27">
        <v>1</v>
      </c>
      <c r="B34" s="8">
        <f t="shared" si="2"/>
        <v>1936</v>
      </c>
      <c r="C34" s="8" t="s">
        <v>0</v>
      </c>
      <c r="D34" s="8">
        <v>0.72266593225006803</v>
      </c>
      <c r="E34" s="8">
        <v>2.4458474060459898</v>
      </c>
      <c r="F34" s="8">
        <v>-2.5195857938350099</v>
      </c>
      <c r="G34" s="8">
        <v>2.2685743837269401</v>
      </c>
      <c r="H34" s="8">
        <v>16.585528707461751</v>
      </c>
      <c r="I34" s="8">
        <v>4.6220432813286303</v>
      </c>
      <c r="J34" s="8">
        <v>-2.1458881982279698</v>
      </c>
      <c r="K34" s="8">
        <v>8.4869526262739026E-2</v>
      </c>
      <c r="L34" s="8">
        <v>-23.464241568073401</v>
      </c>
      <c r="M34" s="11">
        <v>2.4550660543174008E-2</v>
      </c>
      <c r="R34" s="30"/>
    </row>
    <row r="35" spans="1:18" x14ac:dyDescent="0.2">
      <c r="A35" s="27">
        <v>1</v>
      </c>
      <c r="B35">
        <v>1926</v>
      </c>
      <c r="C35" t="s">
        <v>1</v>
      </c>
      <c r="D35">
        <v>1.3571351896777499</v>
      </c>
      <c r="E35">
        <v>23.5761931720284</v>
      </c>
      <c r="F35">
        <v>-36.297961446079903</v>
      </c>
      <c r="G35">
        <v>4.3754940711462398</v>
      </c>
      <c r="H35">
        <v>16.716506686457592</v>
      </c>
      <c r="I35">
        <v>3.17246003565932</v>
      </c>
      <c r="J35">
        <v>-0.73362861483789299</v>
      </c>
      <c r="K35">
        <v>0.2</v>
      </c>
      <c r="L35">
        <v>-34.531227217496898</v>
      </c>
      <c r="M35" s="10">
        <v>0</v>
      </c>
      <c r="R35" s="30"/>
    </row>
    <row r="36" spans="1:18" x14ac:dyDescent="0.2">
      <c r="A36" s="27">
        <v>1</v>
      </c>
      <c r="B36">
        <f>B35+1</f>
        <v>1927</v>
      </c>
      <c r="C36" t="s">
        <v>1</v>
      </c>
      <c r="D36">
        <v>0.65794671418450401</v>
      </c>
      <c r="E36">
        <v>35.240849681246402</v>
      </c>
      <c r="F36">
        <v>-29.869844593623601</v>
      </c>
      <c r="G36">
        <v>1.9565217391304299</v>
      </c>
      <c r="H36">
        <v>17.797115712009965</v>
      </c>
      <c r="I36">
        <v>1.63179469986742</v>
      </c>
      <c r="J36">
        <v>1.91540699920171</v>
      </c>
      <c r="K36">
        <v>0.39183874139626251</v>
      </c>
      <c r="L36">
        <v>-13.427946537059499</v>
      </c>
      <c r="M36" s="10">
        <v>0.4704093270814802</v>
      </c>
      <c r="R36" s="30"/>
    </row>
    <row r="37" spans="1:18" x14ac:dyDescent="0.2">
      <c r="A37" s="27">
        <v>1</v>
      </c>
      <c r="B37">
        <f t="shared" ref="B37:B47" si="3">B36+1</f>
        <v>1928</v>
      </c>
      <c r="C37" t="s">
        <v>1</v>
      </c>
      <c r="D37">
        <v>0.79132226969235098</v>
      </c>
      <c r="E37">
        <v>-16.011273291161</v>
      </c>
      <c r="F37">
        <v>-10.457391554269</v>
      </c>
      <c r="G37">
        <v>2.7747035573122498</v>
      </c>
      <c r="H37">
        <v>18.419004502258272</v>
      </c>
      <c r="I37">
        <v>3.6556894896450798</v>
      </c>
      <c r="J37">
        <v>-1.4591970746530001</v>
      </c>
      <c r="K37">
        <v>0.49000353232073501</v>
      </c>
      <c r="L37">
        <v>-17.681652490886901</v>
      </c>
      <c r="M37" s="10">
        <v>-0.35171938291821137</v>
      </c>
      <c r="R37" s="30"/>
    </row>
    <row r="38" spans="1:18" x14ac:dyDescent="0.2">
      <c r="A38" s="27">
        <v>1</v>
      </c>
      <c r="B38">
        <f t="shared" si="3"/>
        <v>1929</v>
      </c>
      <c r="C38" t="s">
        <v>1</v>
      </c>
      <c r="D38">
        <v>2.08487730522338</v>
      </c>
      <c r="E38">
        <v>13.770645137470099</v>
      </c>
      <c r="F38">
        <v>-10.8416990002258</v>
      </c>
      <c r="G38">
        <v>3.3794466403161998</v>
      </c>
      <c r="H38">
        <v>18.90648465253313</v>
      </c>
      <c r="I38">
        <v>8.0088691120220599</v>
      </c>
      <c r="J38">
        <v>-0.91007648134318497</v>
      </c>
      <c r="K38">
        <v>0.45521786544023479</v>
      </c>
      <c r="L38">
        <v>-8.4782503037666803</v>
      </c>
      <c r="M38" s="10">
        <v>2.2733315607553317E-2</v>
      </c>
      <c r="R38" s="30"/>
    </row>
    <row r="39" spans="1:18" x14ac:dyDescent="0.2">
      <c r="A39" s="27">
        <v>1</v>
      </c>
      <c r="B39">
        <f t="shared" si="3"/>
        <v>1930</v>
      </c>
      <c r="C39" t="s">
        <v>1</v>
      </c>
      <c r="D39">
        <v>2.3456922647545002</v>
      </c>
      <c r="E39">
        <v>2.57981145543607</v>
      </c>
      <c r="F39">
        <v>-5.1082917616143897</v>
      </c>
      <c r="G39">
        <v>1.8498023715415</v>
      </c>
      <c r="H39">
        <v>21.870979559487132</v>
      </c>
      <c r="I39">
        <v>5.6142088660642102</v>
      </c>
      <c r="J39">
        <v>-0.31313573507068698</v>
      </c>
      <c r="K39">
        <v>-0.1357356965984623</v>
      </c>
      <c r="L39">
        <v>-8.6260024301336298</v>
      </c>
      <c r="M39" s="10">
        <v>0</v>
      </c>
      <c r="R39" s="30"/>
    </row>
    <row r="40" spans="1:18" x14ac:dyDescent="0.2">
      <c r="A40" s="27">
        <v>1</v>
      </c>
      <c r="B40">
        <f t="shared" si="3"/>
        <v>1931</v>
      </c>
      <c r="C40" t="s">
        <v>1</v>
      </c>
      <c r="D40">
        <v>0.49759548294295702</v>
      </c>
      <c r="E40">
        <v>6.0499175425210003</v>
      </c>
      <c r="F40">
        <v>-0.88255219560264198</v>
      </c>
      <c r="G40">
        <v>1.0671936758893199</v>
      </c>
      <c r="H40">
        <v>26.799246369390882</v>
      </c>
      <c r="I40">
        <v>-2.77167370201611</v>
      </c>
      <c r="J40">
        <v>-1.1047562640022599</v>
      </c>
      <c r="K40">
        <v>-0.17918268868280196</v>
      </c>
      <c r="L40">
        <v>2.69258809234509</v>
      </c>
      <c r="M40" s="10">
        <v>-2.5087742103210964E-2</v>
      </c>
      <c r="R40" s="30"/>
    </row>
    <row r="41" spans="1:18" x14ac:dyDescent="0.2">
      <c r="A41" s="27">
        <v>1</v>
      </c>
      <c r="B41">
        <f t="shared" si="3"/>
        <v>1932</v>
      </c>
      <c r="C41" t="s">
        <v>1</v>
      </c>
      <c r="D41">
        <v>-1.04911011399986</v>
      </c>
      <c r="E41">
        <v>-11.945011937873799</v>
      </c>
      <c r="F41">
        <v>9.3426536100675701</v>
      </c>
      <c r="G41">
        <v>0.56916996047430801</v>
      </c>
      <c r="H41">
        <v>31.259001590483294</v>
      </c>
      <c r="I41">
        <v>-5.0154676094542898</v>
      </c>
      <c r="J41">
        <v>-1.79478793809388</v>
      </c>
      <c r="K41">
        <v>-0.2454875304275933</v>
      </c>
      <c r="L41">
        <v>8.7893074119076502</v>
      </c>
      <c r="M41" s="10">
        <v>0</v>
      </c>
      <c r="R41" s="30"/>
    </row>
    <row r="42" spans="1:18" x14ac:dyDescent="0.2">
      <c r="A42" s="27">
        <v>1</v>
      </c>
      <c r="B42">
        <f t="shared" si="3"/>
        <v>1933</v>
      </c>
      <c r="C42" t="s">
        <v>1</v>
      </c>
      <c r="D42">
        <v>-1.83373408617617</v>
      </c>
      <c r="E42">
        <v>-11.1610505328968</v>
      </c>
      <c r="F42">
        <v>1.0012112253905601</v>
      </c>
      <c r="G42">
        <v>1.35177865612648</v>
      </c>
      <c r="H42">
        <v>33.833377008225696</v>
      </c>
      <c r="I42">
        <v>-3.4821170052269799</v>
      </c>
      <c r="J42">
        <v>-2.9668065820307401</v>
      </c>
      <c r="K42">
        <v>0.21420745069393687</v>
      </c>
      <c r="L42">
        <v>4.5044957472661302</v>
      </c>
      <c r="M42" s="10">
        <v>-1.6000000000004566E-2</v>
      </c>
      <c r="R42" s="30"/>
    </row>
    <row r="43" spans="1:18" x14ac:dyDescent="0.2">
      <c r="A43" s="27">
        <v>1</v>
      </c>
      <c r="B43">
        <f t="shared" si="3"/>
        <v>1934</v>
      </c>
      <c r="C43" t="s">
        <v>1</v>
      </c>
      <c r="D43">
        <v>-1.5740462440155401</v>
      </c>
      <c r="E43">
        <v>0.64316833632807402</v>
      </c>
      <c r="F43">
        <v>0.55285253844101501</v>
      </c>
      <c r="G43">
        <v>2.8814229249011798</v>
      </c>
      <c r="H43">
        <v>35.698279130068904</v>
      </c>
      <c r="I43">
        <v>-0.25494887307416197</v>
      </c>
      <c r="J43">
        <v>-2.5665542193495199</v>
      </c>
      <c r="K43">
        <v>0</v>
      </c>
      <c r="L43">
        <v>30.7829890643985</v>
      </c>
      <c r="M43" s="10">
        <v>0</v>
      </c>
      <c r="R43" s="30"/>
    </row>
    <row r="44" spans="1:18" x14ac:dyDescent="0.2">
      <c r="A44" s="27">
        <v>1</v>
      </c>
      <c r="B44">
        <f t="shared" si="3"/>
        <v>1935</v>
      </c>
      <c r="C44" t="s">
        <v>1</v>
      </c>
      <c r="D44">
        <v>-1.70682067025912</v>
      </c>
      <c r="E44">
        <v>-11.5659536761266</v>
      </c>
      <c r="F44">
        <v>0.55285253844101501</v>
      </c>
      <c r="G44">
        <v>3.4861660079051302</v>
      </c>
      <c r="H44">
        <v>40.723285602231243</v>
      </c>
      <c r="I44">
        <v>-3.4953749561878</v>
      </c>
      <c r="J44">
        <v>-2.3361058893209301</v>
      </c>
      <c r="K44">
        <v>-8.2969870155913283E-2</v>
      </c>
      <c r="L44">
        <v>17.147023086269702</v>
      </c>
      <c r="M44" s="10">
        <v>-1.8970189701824625E-3</v>
      </c>
      <c r="R44" s="30"/>
    </row>
    <row r="45" spans="1:18" x14ac:dyDescent="0.2">
      <c r="A45" s="27">
        <v>1</v>
      </c>
      <c r="B45">
        <f t="shared" si="3"/>
        <v>1936</v>
      </c>
      <c r="C45" t="s">
        <v>1</v>
      </c>
      <c r="D45">
        <v>-1.48688250069773</v>
      </c>
      <c r="E45">
        <v>-1.2590149408028899</v>
      </c>
      <c r="F45">
        <v>9.7088953213853397</v>
      </c>
      <c r="G45">
        <v>5.7272727272727204</v>
      </c>
      <c r="H45">
        <v>34.579012857511572</v>
      </c>
      <c r="I45">
        <v>-1.8289876716294999</v>
      </c>
      <c r="J45">
        <v>-4.8154919784717899E-2</v>
      </c>
      <c r="K45">
        <v>-0.17149573584080458</v>
      </c>
      <c r="L45">
        <v>24.274119076549201</v>
      </c>
      <c r="M45" s="10">
        <v>0</v>
      </c>
      <c r="R45" s="30"/>
    </row>
    <row r="46" spans="1:18" x14ac:dyDescent="0.2">
      <c r="A46" s="27">
        <v>1</v>
      </c>
      <c r="B46">
        <f t="shared" si="3"/>
        <v>1937</v>
      </c>
      <c r="C46" t="s">
        <v>1</v>
      </c>
      <c r="D46">
        <v>-0.12509929367311301</v>
      </c>
      <c r="E46">
        <v>26.238215964752499</v>
      </c>
      <c r="F46">
        <v>-10.6002750918683</v>
      </c>
      <c r="G46">
        <v>2.09881422924901</v>
      </c>
      <c r="H46">
        <v>25.801143954051721</v>
      </c>
      <c r="I46">
        <v>0.79837247222688001</v>
      </c>
      <c r="J46">
        <v>-1.1481729456905101</v>
      </c>
      <c r="K46">
        <v>0.16502804354998402</v>
      </c>
      <c r="L46">
        <v>6.4933171324423098</v>
      </c>
      <c r="M46" s="10">
        <v>-2.715177844233585E-4</v>
      </c>
      <c r="R46" s="30"/>
    </row>
    <row r="47" spans="1:18" ht="16" thickBot="1" x14ac:dyDescent="0.25">
      <c r="A47" s="27">
        <v>1</v>
      </c>
      <c r="B47">
        <f t="shared" si="3"/>
        <v>1938</v>
      </c>
      <c r="C47" t="s">
        <v>1</v>
      </c>
      <c r="D47">
        <v>0.498572317997382</v>
      </c>
      <c r="E47">
        <v>17.640485391488401</v>
      </c>
      <c r="F47">
        <v>-20.695736076040301</v>
      </c>
      <c r="G47">
        <v>2.7747035573122498</v>
      </c>
      <c r="H47">
        <v>24.855842933529512</v>
      </c>
      <c r="I47">
        <v>-0.23391901982596799</v>
      </c>
      <c r="J47">
        <v>-0.916643061313829</v>
      </c>
      <c r="K47">
        <v>-0.44585410058903541</v>
      </c>
      <c r="L47">
        <v>-8.6376670716889201</v>
      </c>
      <c r="M47" s="10">
        <v>0.95124932102119319</v>
      </c>
      <c r="R47" s="30"/>
    </row>
    <row r="48" spans="1:18" x14ac:dyDescent="0.2">
      <c r="A48" s="27">
        <v>1</v>
      </c>
      <c r="B48" s="5">
        <v>1941</v>
      </c>
      <c r="C48" s="5" t="s">
        <v>16</v>
      </c>
      <c r="D48" s="5">
        <v>-0.134366265319286</v>
      </c>
      <c r="E48" s="5">
        <v>13.945967213114701</v>
      </c>
      <c r="F48" s="5">
        <v>-13.201350445597299</v>
      </c>
      <c r="G48" s="5">
        <v>0.95958777708632903</v>
      </c>
      <c r="H48" s="5">
        <v>11.8919590189382</v>
      </c>
      <c r="I48" s="5">
        <v>11.3529777962232</v>
      </c>
      <c r="J48" s="5">
        <v>-2.0925043256831302</v>
      </c>
      <c r="K48" s="5">
        <v>0.2</v>
      </c>
      <c r="L48" s="5">
        <v>10.287413280475601</v>
      </c>
      <c r="M48" s="9">
        <v>0</v>
      </c>
    </row>
    <row r="49" spans="1:13" x14ac:dyDescent="0.2">
      <c r="A49" s="27">
        <v>1</v>
      </c>
      <c r="B49">
        <f>B48+1</f>
        <v>1942</v>
      </c>
      <c r="C49" t="s">
        <v>16</v>
      </c>
      <c r="D49">
        <v>0.60757095248333703</v>
      </c>
      <c r="E49">
        <v>7.4575737704918001</v>
      </c>
      <c r="F49">
        <v>-8.4507112181317297</v>
      </c>
      <c r="G49">
        <v>0.952753159803438</v>
      </c>
      <c r="H49">
        <v>12.441477801924799</v>
      </c>
      <c r="I49">
        <v>2.6063498651172399</v>
      </c>
      <c r="J49">
        <v>-1.5402125297900799</v>
      </c>
      <c r="K49">
        <v>0.26539798302091278</v>
      </c>
      <c r="L49">
        <v>12.3785926660059</v>
      </c>
      <c r="M49" s="10">
        <v>-0.12322911577919171</v>
      </c>
    </row>
    <row r="50" spans="1:13" x14ac:dyDescent="0.2">
      <c r="A50" s="27">
        <v>1</v>
      </c>
      <c r="B50">
        <f t="shared" ref="B50:B59" si="4">B49+1</f>
        <v>1943</v>
      </c>
      <c r="C50" t="s">
        <v>16</v>
      </c>
      <c r="D50">
        <v>1.0967399483981899</v>
      </c>
      <c r="E50">
        <v>5.5687868852458902</v>
      </c>
      <c r="F50">
        <v>7.6533525308442796</v>
      </c>
      <c r="G50">
        <v>0.952753159803438</v>
      </c>
      <c r="H50">
        <v>13.7926109903756</v>
      </c>
      <c r="I50">
        <v>2.5188490004841899</v>
      </c>
      <c r="J50">
        <v>-1.4436600176291901</v>
      </c>
      <c r="K50">
        <v>0.24613895267684249</v>
      </c>
      <c r="L50">
        <v>9.8529897588371096</v>
      </c>
      <c r="M50" s="10">
        <v>-3.3430839949870617E-3</v>
      </c>
    </row>
    <row r="51" spans="1:13" x14ac:dyDescent="0.2">
      <c r="A51" s="27">
        <v>1</v>
      </c>
      <c r="B51">
        <f t="shared" si="4"/>
        <v>1944</v>
      </c>
      <c r="C51" t="s">
        <v>16</v>
      </c>
      <c r="D51">
        <v>1.1591861965168699</v>
      </c>
      <c r="E51">
        <v>4.4414426229508104</v>
      </c>
      <c r="F51">
        <v>21.210436164138699</v>
      </c>
      <c r="G51">
        <v>0.95692152528915697</v>
      </c>
      <c r="H51">
        <v>14.5625582117354</v>
      </c>
      <c r="I51">
        <v>-0.171543197067165</v>
      </c>
      <c r="J51">
        <v>-1.61836864614279</v>
      </c>
      <c r="K51">
        <v>0.10865205687340151</v>
      </c>
      <c r="L51">
        <v>9.9768747935249191</v>
      </c>
      <c r="M51" s="10">
        <v>1.3417190775679044E-2</v>
      </c>
    </row>
    <row r="52" spans="1:13" x14ac:dyDescent="0.2">
      <c r="A52" s="27">
        <v>1</v>
      </c>
      <c r="B52">
        <f t="shared" si="4"/>
        <v>1945</v>
      </c>
      <c r="C52" t="s">
        <v>16</v>
      </c>
      <c r="D52">
        <v>0.51174478606751195</v>
      </c>
      <c r="E52">
        <v>4.0220327868852399</v>
      </c>
      <c r="F52">
        <v>26.4168507807263</v>
      </c>
      <c r="G52">
        <v>0.95087551769275402</v>
      </c>
      <c r="H52">
        <v>16.0376694608299</v>
      </c>
      <c r="I52">
        <v>-7.1664245694127402</v>
      </c>
      <c r="J52">
        <v>-1.61836864614279</v>
      </c>
      <c r="K52">
        <v>4.9751487003989903E-2</v>
      </c>
      <c r="L52">
        <v>6.8913115295671998</v>
      </c>
      <c r="M52" s="10">
        <v>2.8685698524347547E-2</v>
      </c>
    </row>
    <row r="53" spans="1:13" x14ac:dyDescent="0.2">
      <c r="A53" s="27">
        <v>1</v>
      </c>
      <c r="B53">
        <f t="shared" si="4"/>
        <v>1946</v>
      </c>
      <c r="C53" t="s">
        <v>16</v>
      </c>
      <c r="D53">
        <v>2.3623951838314498E-2</v>
      </c>
      <c r="E53">
        <v>3.94649180327868</v>
      </c>
      <c r="F53">
        <v>31.504108432837601</v>
      </c>
      <c r="G53">
        <v>0.46527971502757398</v>
      </c>
      <c r="H53">
        <v>16.557797785366802</v>
      </c>
      <c r="I53">
        <v>-4.3193608632496199</v>
      </c>
      <c r="J53">
        <v>-2.0090349645783601</v>
      </c>
      <c r="K53">
        <v>4.6896830078549945E-2</v>
      </c>
      <c r="L53">
        <v>3.6389164188965801</v>
      </c>
      <c r="M53" s="10">
        <v>-2.2791258881934562E-3</v>
      </c>
    </row>
    <row r="54" spans="1:13" x14ac:dyDescent="0.2">
      <c r="A54" s="27">
        <v>1</v>
      </c>
      <c r="B54">
        <f t="shared" si="4"/>
        <v>1947</v>
      </c>
      <c r="C54" t="s">
        <v>16</v>
      </c>
      <c r="D54">
        <v>-0.158232100623521</v>
      </c>
      <c r="E54">
        <v>3.9887213114754001</v>
      </c>
      <c r="F54">
        <v>28.569123451580001</v>
      </c>
      <c r="G54">
        <v>0.458182227849187</v>
      </c>
      <c r="H54">
        <v>17.105453792817901</v>
      </c>
      <c r="I54">
        <v>-2.1397938714809399</v>
      </c>
      <c r="J54">
        <v>-1.5224445822859101</v>
      </c>
      <c r="K54">
        <v>1.1536351369388909E-2</v>
      </c>
      <c r="L54">
        <v>-4.1328047571853501</v>
      </c>
      <c r="M54" s="10">
        <v>0</v>
      </c>
    </row>
    <row r="55" spans="1:13" x14ac:dyDescent="0.2">
      <c r="A55" s="27">
        <v>1</v>
      </c>
      <c r="B55">
        <f t="shared" si="4"/>
        <v>1948</v>
      </c>
      <c r="C55" t="s">
        <v>16</v>
      </c>
      <c r="D55">
        <v>-3.3863685228982997E-2</v>
      </c>
      <c r="E55">
        <v>7.5567213114754104</v>
      </c>
      <c r="F55">
        <v>15.9466772583968</v>
      </c>
      <c r="G55">
        <v>0.44898178150683399</v>
      </c>
      <c r="H55">
        <v>15.7315533478215</v>
      </c>
      <c r="I55">
        <v>0.35622881649027899</v>
      </c>
      <c r="J55">
        <v>-2.1785446116679101</v>
      </c>
      <c r="K55">
        <v>2.4993769881408889E-2</v>
      </c>
      <c r="L55">
        <v>-1.33961017509085</v>
      </c>
      <c r="M55" s="10">
        <v>1.8677774791724833E-2</v>
      </c>
    </row>
    <row r="56" spans="1:13" x14ac:dyDescent="0.2">
      <c r="A56" s="27">
        <v>1</v>
      </c>
      <c r="B56">
        <f t="shared" si="4"/>
        <v>1949</v>
      </c>
      <c r="C56" t="s">
        <v>16</v>
      </c>
      <c r="D56">
        <v>-0.19661094388303599</v>
      </c>
      <c r="E56">
        <v>3.6915409836065498</v>
      </c>
      <c r="F56">
        <v>-4.3688404537894296</v>
      </c>
      <c r="G56">
        <v>0.44898178150683399</v>
      </c>
      <c r="H56">
        <v>14.2262237400393</v>
      </c>
      <c r="I56">
        <v>2.5316455696202498</v>
      </c>
      <c r="J56">
        <v>-1.70937938689562</v>
      </c>
      <c r="K56">
        <v>-0.11143845999828317</v>
      </c>
      <c r="L56">
        <v>2.06640237859264</v>
      </c>
      <c r="M56" s="10">
        <v>8.9697929033112578E-2</v>
      </c>
    </row>
    <row r="57" spans="1:13" x14ac:dyDescent="0.2">
      <c r="A57" s="27">
        <v>1</v>
      </c>
      <c r="B57">
        <f t="shared" si="4"/>
        <v>1950</v>
      </c>
      <c r="C57" t="s">
        <v>16</v>
      </c>
      <c r="D57">
        <v>-0.285583745431091</v>
      </c>
      <c r="E57">
        <v>3.2375081967213002</v>
      </c>
      <c r="F57">
        <v>-8.8424397388476397</v>
      </c>
      <c r="G57">
        <v>0.437415506105018</v>
      </c>
      <c r="H57">
        <v>13.7205836696678</v>
      </c>
      <c r="I57">
        <v>3.4287888220239302</v>
      </c>
      <c r="J57">
        <v>-2.1965982174920802</v>
      </c>
      <c r="K57">
        <v>-0.28989216159665021</v>
      </c>
      <c r="L57">
        <v>-20.459200528576101</v>
      </c>
      <c r="M57" s="10">
        <v>-9.8051083403947192E-3</v>
      </c>
    </row>
    <row r="58" spans="1:13" x14ac:dyDescent="0.2">
      <c r="A58" s="27">
        <v>1</v>
      </c>
      <c r="B58">
        <f t="shared" si="4"/>
        <v>1951</v>
      </c>
      <c r="C58" t="s">
        <v>16</v>
      </c>
      <c r="D58">
        <v>-1.89475381638359E-3</v>
      </c>
      <c r="E58">
        <v>7.2060327868852401</v>
      </c>
      <c r="F58">
        <v>-11.792319340664699</v>
      </c>
      <c r="G58">
        <v>0.47906160811999698</v>
      </c>
      <c r="H58">
        <v>12.8779882024216</v>
      </c>
      <c r="I58">
        <v>3.74593622466625</v>
      </c>
      <c r="J58">
        <v>-1.9145391923215</v>
      </c>
      <c r="K58">
        <v>0.18159976427389601</v>
      </c>
      <c r="L58">
        <v>-16.841757515692102</v>
      </c>
      <c r="M58" s="10">
        <v>0.33105134474327502</v>
      </c>
    </row>
    <row r="59" spans="1:13" x14ac:dyDescent="0.2">
      <c r="A59" s="27">
        <v>1</v>
      </c>
      <c r="B59">
        <f t="shared" si="4"/>
        <v>1952</v>
      </c>
      <c r="C59" t="s">
        <v>16</v>
      </c>
      <c r="D59">
        <v>-0.45961889916146997</v>
      </c>
      <c r="E59">
        <v>10.317377049180299</v>
      </c>
      <c r="F59">
        <v>-13.2184792592408</v>
      </c>
      <c r="G59">
        <v>2.4187785669835402</v>
      </c>
      <c r="H59">
        <v>12.303839387353801</v>
      </c>
      <c r="I59">
        <v>1.1471951303866701</v>
      </c>
      <c r="J59">
        <v>-1.532328360158</v>
      </c>
      <c r="K59">
        <v>-0.21296349580863705</v>
      </c>
      <c r="L59">
        <v>-15.1139742319127</v>
      </c>
      <c r="M59" s="10">
        <v>3.040044085231286E-2</v>
      </c>
    </row>
    <row r="60" spans="1:13" ht="16" thickBot="1" x14ac:dyDescent="0.25">
      <c r="A60" s="27">
        <v>1</v>
      </c>
      <c r="B60" s="8">
        <v>1953</v>
      </c>
      <c r="C60" s="8" t="s">
        <v>16</v>
      </c>
      <c r="D60" s="8">
        <v>-0.786725972909051</v>
      </c>
      <c r="E60" s="8">
        <v>5.5887213114754104</v>
      </c>
      <c r="F60" s="8">
        <v>-14.607402626418001</v>
      </c>
      <c r="G60" s="8">
        <v>2.4266271110062001</v>
      </c>
      <c r="H60" s="8">
        <v>11.938942357445899</v>
      </c>
      <c r="I60" s="8">
        <v>3.50591409006018</v>
      </c>
      <c r="J60" s="8">
        <v>-1.1422904900264399</v>
      </c>
      <c r="K60" s="8">
        <v>0.15381803114870074</v>
      </c>
      <c r="L60" s="8">
        <v>-10.181698050875401</v>
      </c>
      <c r="M60" s="11">
        <v>-6.3642035832073174E-2</v>
      </c>
    </row>
    <row r="61" spans="1:13" x14ac:dyDescent="0.2">
      <c r="A61" s="27">
        <v>1</v>
      </c>
      <c r="B61">
        <v>1943</v>
      </c>
      <c r="C61" t="s">
        <v>29</v>
      </c>
      <c r="D61">
        <v>0.47611383028373699</v>
      </c>
      <c r="E61">
        <v>5.20765690527403</v>
      </c>
      <c r="F61">
        <v>-1.09067967439641</v>
      </c>
      <c r="G61">
        <v>0.27005676983451399</v>
      </c>
      <c r="H61">
        <v>13.946883495503901</v>
      </c>
      <c r="I61">
        <v>12.0499229863187</v>
      </c>
      <c r="J61">
        <v>-1.6826902162091599</v>
      </c>
      <c r="K61">
        <v>0.1</v>
      </c>
      <c r="L61">
        <v>-11.0212998361551</v>
      </c>
      <c r="M61" s="10">
        <v>0</v>
      </c>
    </row>
    <row r="62" spans="1:13" x14ac:dyDescent="0.2">
      <c r="A62" s="27">
        <v>1</v>
      </c>
      <c r="B62">
        <f>B61+1</f>
        <v>1944</v>
      </c>
      <c r="C62" t="s">
        <v>29</v>
      </c>
      <c r="D62">
        <v>0.67344997187750499</v>
      </c>
      <c r="E62">
        <v>3.4597868275273602</v>
      </c>
      <c r="F62">
        <v>12.544970532568</v>
      </c>
      <c r="G62">
        <v>0.26721192801533999</v>
      </c>
      <c r="H62">
        <v>16.2667142312376</v>
      </c>
      <c r="I62">
        <v>2.9423756455558499</v>
      </c>
      <c r="J62">
        <v>-1.66937834428155</v>
      </c>
      <c r="K62">
        <v>0.14119720608394859</v>
      </c>
      <c r="L62">
        <v>-17.344620425996698</v>
      </c>
      <c r="M62" s="10">
        <v>2.9889381354987421E-2</v>
      </c>
    </row>
    <row r="63" spans="1:13" x14ac:dyDescent="0.2">
      <c r="A63" s="27">
        <v>1</v>
      </c>
      <c r="B63">
        <f t="shared" ref="B63:B69" si="5">B62+1</f>
        <v>1945</v>
      </c>
      <c r="C63" t="s">
        <v>29</v>
      </c>
      <c r="D63">
        <v>0.342083218649401</v>
      </c>
      <c r="E63">
        <v>3.6124442735433</v>
      </c>
      <c r="F63">
        <v>30.313139550987099</v>
      </c>
      <c r="G63">
        <v>0.26721192801533999</v>
      </c>
      <c r="H63">
        <v>16.699592830871001</v>
      </c>
      <c r="I63">
        <v>-6.8881942556854199</v>
      </c>
      <c r="J63">
        <v>-1.2344368556140399</v>
      </c>
      <c r="K63">
        <v>0.33966365404415755</v>
      </c>
      <c r="L63">
        <v>-27.5084653194975</v>
      </c>
      <c r="M63" s="10">
        <v>6.2926061877277562E-3</v>
      </c>
    </row>
    <row r="64" spans="1:13" x14ac:dyDescent="0.2">
      <c r="A64" s="27">
        <v>1</v>
      </c>
      <c r="B64">
        <f t="shared" si="5"/>
        <v>1946</v>
      </c>
      <c r="C64" t="s">
        <v>29</v>
      </c>
      <c r="D64">
        <v>3.0821057166448E-2</v>
      </c>
      <c r="E64">
        <v>13.7464761652987</v>
      </c>
      <c r="F64">
        <v>15.979503593026299</v>
      </c>
      <c r="G64">
        <v>0.29454272977812501</v>
      </c>
      <c r="H64">
        <v>12.9870222528385</v>
      </c>
      <c r="I64">
        <v>-4.63350548156202</v>
      </c>
      <c r="J64">
        <v>-1.4197154913646799</v>
      </c>
      <c r="K64">
        <v>-0.19602903501281155</v>
      </c>
      <c r="L64">
        <v>-17.853631895139198</v>
      </c>
      <c r="M64" s="10">
        <v>4.5336112558630237E-2</v>
      </c>
    </row>
    <row r="65" spans="1:13" x14ac:dyDescent="0.2">
      <c r="A65" s="27">
        <v>1</v>
      </c>
      <c r="B65">
        <f t="shared" si="5"/>
        <v>1947</v>
      </c>
      <c r="C65" t="s">
        <v>29</v>
      </c>
      <c r="D65">
        <v>0.16084271747064999</v>
      </c>
      <c r="E65">
        <v>10.6512214758648</v>
      </c>
      <c r="F65">
        <v>2.8738055303368499</v>
      </c>
      <c r="G65">
        <v>0.69454780985280296</v>
      </c>
      <c r="H65">
        <v>12.5218161465316</v>
      </c>
      <c r="I65">
        <v>-0.14632599438253599</v>
      </c>
      <c r="J65">
        <v>-1.1709226954365499</v>
      </c>
      <c r="K65">
        <v>2.0925168622872858E-2</v>
      </c>
      <c r="L65">
        <v>-12.054614964500299</v>
      </c>
      <c r="M65" s="10">
        <v>-3.214494447690508E-3</v>
      </c>
    </row>
    <row r="66" spans="1:13" x14ac:dyDescent="0.2">
      <c r="A66" s="27">
        <v>1</v>
      </c>
      <c r="B66">
        <f t="shared" si="5"/>
        <v>1948</v>
      </c>
      <c r="C66" t="s">
        <v>29</v>
      </c>
      <c r="D66">
        <v>4.8143317018297403E-2</v>
      </c>
      <c r="E66">
        <v>4.9415638255686698</v>
      </c>
      <c r="F66">
        <v>-8.8950097711850002</v>
      </c>
      <c r="G66">
        <v>0.97039586481921103</v>
      </c>
      <c r="H66">
        <v>11.321269974044499</v>
      </c>
      <c r="I66">
        <v>-0.81861012956420598</v>
      </c>
      <c r="J66">
        <v>-0.98425196850393604</v>
      </c>
      <c r="K66">
        <v>-4.9419965666213095E-3</v>
      </c>
      <c r="L66">
        <v>-1.3096668487165699</v>
      </c>
      <c r="M66" s="10">
        <v>0.10364392018900359</v>
      </c>
    </row>
    <row r="67" spans="1:13" x14ac:dyDescent="0.2">
      <c r="A67" s="27">
        <v>1</v>
      </c>
      <c r="B67">
        <f t="shared" si="5"/>
        <v>1949</v>
      </c>
      <c r="C67" t="s">
        <v>29</v>
      </c>
      <c r="D67">
        <v>-9.5490827280016705E-2</v>
      </c>
      <c r="E67">
        <v>1.53138105480718</v>
      </c>
      <c r="F67">
        <v>-8.3041223629341196</v>
      </c>
      <c r="G67">
        <v>0.99914908749158404</v>
      </c>
      <c r="H67">
        <v>11.232037198774799</v>
      </c>
      <c r="I67">
        <v>0.60840808190631801</v>
      </c>
      <c r="J67">
        <v>-0.78496541523469698</v>
      </c>
      <c r="K67">
        <v>0</v>
      </c>
      <c r="L67">
        <v>13.026761332605099</v>
      </c>
      <c r="M67" s="10">
        <v>-9.59419972811415E-3</v>
      </c>
    </row>
    <row r="68" spans="1:13" x14ac:dyDescent="0.2">
      <c r="A68" s="27">
        <v>1</v>
      </c>
      <c r="B68">
        <f t="shared" si="5"/>
        <v>1950</v>
      </c>
      <c r="C68" t="s">
        <v>29</v>
      </c>
      <c r="D68">
        <v>0.58567188827591199</v>
      </c>
      <c r="E68">
        <v>4.8521611651185301</v>
      </c>
      <c r="F68">
        <v>-6.5462323233877502</v>
      </c>
      <c r="G68">
        <v>1.2439070854341501</v>
      </c>
      <c r="H68">
        <v>10.2281131216709</v>
      </c>
      <c r="I68">
        <v>10.908308417142299</v>
      </c>
      <c r="J68">
        <v>-0.80893548527428505</v>
      </c>
      <c r="K68">
        <v>0.2306043496445056</v>
      </c>
      <c r="L68">
        <v>9.1938831239759509</v>
      </c>
      <c r="M68" s="10">
        <v>-5.2963728444537672E-2</v>
      </c>
    </row>
    <row r="69" spans="1:13" ht="16" thickBot="1" x14ac:dyDescent="0.25">
      <c r="A69" s="28">
        <v>1</v>
      </c>
      <c r="B69">
        <f t="shared" si="5"/>
        <v>1951</v>
      </c>
      <c r="C69" t="s">
        <v>29</v>
      </c>
      <c r="D69">
        <v>0.681587544726732</v>
      </c>
      <c r="E69">
        <v>6.5906103173553996</v>
      </c>
      <c r="F69">
        <v>-6.8305968886084898</v>
      </c>
      <c r="G69">
        <v>1.5817320514611499</v>
      </c>
      <c r="H69">
        <v>10.1388803464012</v>
      </c>
      <c r="I69">
        <v>4.7087070761982401</v>
      </c>
      <c r="J69">
        <v>-0.88284682646713297</v>
      </c>
      <c r="K69">
        <v>0.21220102808105579</v>
      </c>
      <c r="L69">
        <v>5.3599126160567803</v>
      </c>
      <c r="M69" s="10">
        <v>1.1445040482464863E-2</v>
      </c>
    </row>
    <row r="70" spans="1:13" x14ac:dyDescent="0.2">
      <c r="A70" s="26">
        <v>2</v>
      </c>
      <c r="B70" s="4">
        <v>1984</v>
      </c>
      <c r="C70" s="5" t="s">
        <v>4</v>
      </c>
      <c r="D70" s="5">
        <v>-0.86622917718324099</v>
      </c>
      <c r="E70" s="5">
        <v>7.2458600952505696</v>
      </c>
      <c r="F70" s="5">
        <v>4.0514791910412802</v>
      </c>
      <c r="G70" s="5">
        <v>7.9501856435643496</v>
      </c>
      <c r="H70" s="5">
        <v>5.3721014243445904</v>
      </c>
      <c r="I70" s="5">
        <v>10.283261802575099</v>
      </c>
      <c r="J70" s="5">
        <v>-4.1709287651760096</v>
      </c>
      <c r="K70" s="5">
        <v>0.1</v>
      </c>
      <c r="L70" s="5">
        <v>-9.8291433146517093</v>
      </c>
      <c r="M70" s="9">
        <v>0</v>
      </c>
    </row>
    <row r="71" spans="1:13" x14ac:dyDescent="0.2">
      <c r="A71" s="27">
        <v>2</v>
      </c>
      <c r="B71" s="6">
        <f>B70+1</f>
        <v>1985</v>
      </c>
      <c r="C71" t="s">
        <v>4</v>
      </c>
      <c r="D71">
        <v>0.61534578495709003</v>
      </c>
      <c r="E71">
        <v>6.0995324856905597</v>
      </c>
      <c r="F71">
        <v>4.4902222965067704</v>
      </c>
      <c r="G71">
        <v>10.084622524752399</v>
      </c>
      <c r="H71">
        <v>5.3721014243445904</v>
      </c>
      <c r="I71">
        <v>5.3390557939914096</v>
      </c>
      <c r="J71">
        <v>-4.2791662435995903</v>
      </c>
      <c r="K71">
        <v>0.33333333333333326</v>
      </c>
      <c r="L71">
        <v>-8.1088871096877408</v>
      </c>
      <c r="M71" s="10">
        <v>-6.3294659885572591E-2</v>
      </c>
    </row>
    <row r="72" spans="1:13" x14ac:dyDescent="0.2">
      <c r="A72" s="27">
        <v>2</v>
      </c>
      <c r="B72" s="6">
        <f t="shared" ref="B72:B82" si="6">B71+1</f>
        <v>1986</v>
      </c>
      <c r="C72" t="s">
        <v>4</v>
      </c>
      <c r="D72">
        <v>1.56042402826855</v>
      </c>
      <c r="E72">
        <v>9.4082230086948897</v>
      </c>
      <c r="F72">
        <v>12.571452448604299</v>
      </c>
      <c r="G72">
        <v>15.1178836633663</v>
      </c>
      <c r="H72">
        <v>5.5896924241381702</v>
      </c>
      <c r="I72">
        <v>5.4763948497854003</v>
      </c>
      <c r="J72">
        <v>0.42946867611436002</v>
      </c>
      <c r="K72">
        <v>0</v>
      </c>
      <c r="L72">
        <v>-0.67926341072857999</v>
      </c>
      <c r="M72" s="10">
        <v>-7.4825026511135428E-2</v>
      </c>
    </row>
    <row r="73" spans="1:13" x14ac:dyDescent="0.2">
      <c r="A73" s="27">
        <v>2</v>
      </c>
      <c r="B73" s="6">
        <f t="shared" si="6"/>
        <v>1987</v>
      </c>
      <c r="C73" t="s">
        <v>4</v>
      </c>
      <c r="D73">
        <v>2.3843008581524399</v>
      </c>
      <c r="E73">
        <v>10.768645956219601</v>
      </c>
      <c r="F73">
        <v>11.6856092261407</v>
      </c>
      <c r="G73">
        <v>13.8787128712871</v>
      </c>
      <c r="H73">
        <v>5.5615151723663399</v>
      </c>
      <c r="I73">
        <v>1.21888412017167</v>
      </c>
      <c r="J73">
        <v>1.8960560479250299</v>
      </c>
      <c r="K73">
        <v>0.55000000000000004</v>
      </c>
      <c r="L73">
        <v>6.13114491593275</v>
      </c>
      <c r="M73" s="10">
        <v>0.15872724771904267</v>
      </c>
    </row>
    <row r="74" spans="1:13" x14ac:dyDescent="0.2">
      <c r="A74" s="27">
        <v>2</v>
      </c>
      <c r="B74" s="6">
        <f t="shared" si="6"/>
        <v>1988</v>
      </c>
      <c r="C74" t="s">
        <v>4</v>
      </c>
      <c r="D74">
        <v>1.42958101968702</v>
      </c>
      <c r="E74">
        <v>7.9456459999126103</v>
      </c>
      <c r="F74">
        <v>11.096439913087</v>
      </c>
      <c r="G74">
        <v>12.695235148514801</v>
      </c>
      <c r="H74">
        <v>5.3235739351819999</v>
      </c>
      <c r="I74">
        <v>-0.15450643776824</v>
      </c>
      <c r="J74">
        <v>1.50229906731843</v>
      </c>
      <c r="K74">
        <v>-0.15053763440860213</v>
      </c>
      <c r="L74">
        <v>9.7796637309847796</v>
      </c>
      <c r="M74" s="10">
        <v>-6.3546076840894861E-2</v>
      </c>
    </row>
    <row r="75" spans="1:13" x14ac:dyDescent="0.2">
      <c r="A75" s="27">
        <v>2</v>
      </c>
      <c r="B75" s="6">
        <f t="shared" si="6"/>
        <v>1989</v>
      </c>
      <c r="C75" t="s">
        <v>4</v>
      </c>
      <c r="D75">
        <v>-0.35431600201918201</v>
      </c>
      <c r="E75">
        <v>5.43277843317167</v>
      </c>
      <c r="F75">
        <v>0.38692963396289298</v>
      </c>
      <c r="G75">
        <v>10.0943688118811</v>
      </c>
      <c r="H75">
        <v>4.7286004266152899</v>
      </c>
      <c r="I75">
        <v>-0.97854077253218397</v>
      </c>
      <c r="J75">
        <v>0.70320999115185501</v>
      </c>
      <c r="K75">
        <v>0.49367088607594733</v>
      </c>
      <c r="L75">
        <v>7.4051240992794201</v>
      </c>
      <c r="M75" s="10">
        <v>-7.1703215447669333E-2</v>
      </c>
    </row>
    <row r="76" spans="1:13" x14ac:dyDescent="0.2">
      <c r="A76" s="27">
        <v>2</v>
      </c>
      <c r="B76" s="6">
        <f t="shared" si="6"/>
        <v>1990</v>
      </c>
      <c r="C76" t="s">
        <v>4</v>
      </c>
      <c r="D76">
        <v>-0.90474507824331196</v>
      </c>
      <c r="E76">
        <v>4.5103333770262504</v>
      </c>
      <c r="F76">
        <v>0.38692963396289298</v>
      </c>
      <c r="G76">
        <v>10.381188118811799</v>
      </c>
      <c r="H76">
        <v>4.17613362691805</v>
      </c>
      <c r="I76">
        <v>2.0429184549356201</v>
      </c>
      <c r="J76">
        <v>0.77103610333473604</v>
      </c>
      <c r="K76">
        <v>0.28813559322034066</v>
      </c>
      <c r="L76">
        <v>7.2206565252201704</v>
      </c>
      <c r="M76" s="10">
        <v>4.1010468821122137E-2</v>
      </c>
    </row>
    <row r="77" spans="1:13" x14ac:dyDescent="0.2">
      <c r="A77" s="27">
        <v>2</v>
      </c>
      <c r="B77" s="6">
        <f t="shared" si="6"/>
        <v>1991</v>
      </c>
      <c r="C77" t="s">
        <v>4</v>
      </c>
      <c r="D77">
        <v>-1.2606764260474499</v>
      </c>
      <c r="E77">
        <v>3.9549089002490501</v>
      </c>
      <c r="F77">
        <v>-3.2316563596857999</v>
      </c>
      <c r="G77">
        <v>10.381188118811799</v>
      </c>
      <c r="H77">
        <v>4.1512075965045003</v>
      </c>
      <c r="I77">
        <v>1.15021459227467</v>
      </c>
      <c r="J77">
        <v>0.37301460669268099</v>
      </c>
      <c r="K77">
        <v>-0.15131578947368418</v>
      </c>
      <c r="L77">
        <v>4.5372297838270503</v>
      </c>
      <c r="M77" s="10">
        <v>-0.20825499540903269</v>
      </c>
    </row>
    <row r="78" spans="1:13" x14ac:dyDescent="0.2">
      <c r="A78" s="27">
        <v>2</v>
      </c>
      <c r="B78" s="6">
        <f t="shared" si="6"/>
        <v>1992</v>
      </c>
      <c r="C78" t="s">
        <v>4</v>
      </c>
      <c r="D78">
        <v>-1.5308934881373</v>
      </c>
      <c r="E78">
        <v>2.8575173679381298</v>
      </c>
      <c r="F78">
        <v>-1.4307203743941099</v>
      </c>
      <c r="G78">
        <v>10.673576732673199</v>
      </c>
      <c r="H78">
        <v>4.1512075965045003</v>
      </c>
      <c r="I78">
        <v>3.1416309012875501</v>
      </c>
      <c r="J78">
        <v>1.4373159658258501</v>
      </c>
      <c r="K78">
        <v>-0.13953488372093026</v>
      </c>
      <c r="L78">
        <v>9.6643714971977595</v>
      </c>
      <c r="M78" s="10">
        <v>1.507620941020571E-2</v>
      </c>
    </row>
    <row r="79" spans="1:13" x14ac:dyDescent="0.2">
      <c r="A79" s="27">
        <v>2</v>
      </c>
      <c r="B79" s="6">
        <f t="shared" si="6"/>
        <v>1993</v>
      </c>
      <c r="C79" t="s">
        <v>4</v>
      </c>
      <c r="D79">
        <v>-1.24159515396264</v>
      </c>
      <c r="E79">
        <v>3.4918512692795001</v>
      </c>
      <c r="F79">
        <v>3.1071368878488901</v>
      </c>
      <c r="G79">
        <v>8.4876237623762307</v>
      </c>
      <c r="H79">
        <v>4.97810156196243</v>
      </c>
      <c r="I79">
        <v>2.9356223175965601</v>
      </c>
      <c r="J79">
        <v>1.0405129023367801</v>
      </c>
      <c r="K79">
        <v>0</v>
      </c>
      <c r="L79">
        <v>1.69959967974379</v>
      </c>
      <c r="M79" s="10">
        <v>0.11767586094335947</v>
      </c>
    </row>
    <row r="80" spans="1:13" x14ac:dyDescent="0.2">
      <c r="A80" s="27">
        <v>2</v>
      </c>
      <c r="B80" s="6">
        <f t="shared" si="6"/>
        <v>1994</v>
      </c>
      <c r="C80" t="s">
        <v>4</v>
      </c>
      <c r="D80">
        <v>-0.87708228167592095</v>
      </c>
      <c r="E80">
        <v>1.75584392886791</v>
      </c>
      <c r="F80">
        <v>0.324252047467808</v>
      </c>
      <c r="G80">
        <v>5.2003403465346496</v>
      </c>
      <c r="H80">
        <v>5.4674705841877103</v>
      </c>
      <c r="I80">
        <v>4.4463519313304696</v>
      </c>
      <c r="J80">
        <v>-1.79559333343003</v>
      </c>
      <c r="K80">
        <v>0.16216216216216206</v>
      </c>
      <c r="L80">
        <v>2.4196957566052899</v>
      </c>
      <c r="M80" s="10">
        <v>0.15809968847352596</v>
      </c>
    </row>
    <row r="81" spans="1:13" x14ac:dyDescent="0.2">
      <c r="A81" s="27">
        <v>2</v>
      </c>
      <c r="B81" s="6">
        <f t="shared" si="6"/>
        <v>1995</v>
      </c>
      <c r="C81" t="s">
        <v>4</v>
      </c>
      <c r="D81">
        <v>-0.51640585562847097</v>
      </c>
      <c r="E81">
        <v>2.31799711626687</v>
      </c>
      <c r="F81">
        <v>-9.25706167474514</v>
      </c>
      <c r="G81">
        <v>4.96782178217821</v>
      </c>
      <c r="H81">
        <v>4.53172091103007</v>
      </c>
      <c r="I81">
        <v>4.1716738197424901</v>
      </c>
      <c r="J81">
        <v>-2.30672604110761</v>
      </c>
      <c r="K81">
        <v>9.3023255813953432E-2</v>
      </c>
      <c r="L81">
        <v>4.2725380304243501</v>
      </c>
      <c r="M81" s="10">
        <v>-8.3683591123072998E-2</v>
      </c>
    </row>
    <row r="82" spans="1:13" ht="16" thickBot="1" x14ac:dyDescent="0.25">
      <c r="A82" s="27">
        <v>2</v>
      </c>
      <c r="B82" s="7">
        <f t="shared" si="6"/>
        <v>1996</v>
      </c>
      <c r="C82" s="8" t="s">
        <v>4</v>
      </c>
      <c r="D82" s="8">
        <v>7.1781928319030103E-2</v>
      </c>
      <c r="E82" s="8">
        <v>-0.34840739284310002</v>
      </c>
      <c r="F82" s="8">
        <v>-13.3812468661206</v>
      </c>
      <c r="G82" s="8">
        <v>3.8943378712871199</v>
      </c>
      <c r="H82" s="8">
        <v>4.6007190531892901</v>
      </c>
      <c r="I82" s="8">
        <v>4.65236051502146</v>
      </c>
      <c r="J82" s="8">
        <v>-1.77366153667628</v>
      </c>
      <c r="K82" s="8">
        <v>0.10638297872340319</v>
      </c>
      <c r="L82" s="8">
        <v>-0.83586869495596205</v>
      </c>
      <c r="M82" s="11">
        <v>-2.7200587129023179E-2</v>
      </c>
    </row>
    <row r="83" spans="1:13" x14ac:dyDescent="0.2">
      <c r="A83" s="27">
        <v>2</v>
      </c>
      <c r="B83" s="4">
        <v>1987</v>
      </c>
      <c r="C83" s="5" t="s">
        <v>5</v>
      </c>
      <c r="D83" s="5">
        <v>1.0069551079396599</v>
      </c>
      <c r="E83" s="5">
        <v>3.1135223524846798</v>
      </c>
      <c r="F83" s="5">
        <v>-4.4863992468310103</v>
      </c>
      <c r="G83" s="5">
        <v>4.8464104032611202</v>
      </c>
      <c r="H83" s="5">
        <v>11.858341559723501</v>
      </c>
      <c r="I83" s="5">
        <v>4.0458887822785803</v>
      </c>
      <c r="J83" s="5">
        <v>-1.41858793608668</v>
      </c>
      <c r="K83" s="5">
        <v>0.02</v>
      </c>
      <c r="L83" s="5">
        <v>11.513003305587601</v>
      </c>
      <c r="M83" s="9">
        <v>0</v>
      </c>
    </row>
    <row r="84" spans="1:13" x14ac:dyDescent="0.2">
      <c r="A84" s="27">
        <v>2</v>
      </c>
      <c r="B84" s="6">
        <f>B83+1</f>
        <v>1988</v>
      </c>
      <c r="C84" t="s">
        <v>5</v>
      </c>
      <c r="D84">
        <v>1.6597416674193799</v>
      </c>
      <c r="E84">
        <v>5.43524292563953</v>
      </c>
      <c r="F84">
        <v>-5.0230321778017197</v>
      </c>
      <c r="G84">
        <v>2.9061078731933998</v>
      </c>
      <c r="H84">
        <v>11.858341559723501</v>
      </c>
      <c r="I84">
        <v>5.1332026198322902</v>
      </c>
      <c r="J84">
        <v>-0.66069552717421198</v>
      </c>
      <c r="K84">
        <v>0</v>
      </c>
      <c r="L84">
        <v>16.593253415110102</v>
      </c>
      <c r="M84" s="10">
        <v>-3.0766430001821665E-2</v>
      </c>
    </row>
    <row r="85" spans="1:13" x14ac:dyDescent="0.2">
      <c r="A85" s="27">
        <v>2</v>
      </c>
      <c r="B85" s="6">
        <f t="shared" ref="B85:B95" si="7">B84+1</f>
        <v>1989</v>
      </c>
      <c r="C85" t="s">
        <v>5</v>
      </c>
      <c r="D85">
        <v>2.3174058350645801</v>
      </c>
      <c r="E85">
        <v>6.5183614644826902</v>
      </c>
      <c r="F85">
        <v>1.15295383477351</v>
      </c>
      <c r="G85">
        <v>2.7664319644240698</v>
      </c>
      <c r="H85">
        <v>12.035208950312599</v>
      </c>
      <c r="I85">
        <v>5.5970964915939998</v>
      </c>
      <c r="J85">
        <v>0.167965942389564</v>
      </c>
      <c r="K85">
        <v>-6.1158217571716023E-2</v>
      </c>
      <c r="L85">
        <v>22.934007726313201</v>
      </c>
      <c r="M85" s="10">
        <v>-5.390683696469234E-2</v>
      </c>
    </row>
    <row r="86" spans="1:13" x14ac:dyDescent="0.2">
      <c r="A86" s="27">
        <v>2</v>
      </c>
      <c r="B86" s="6">
        <f t="shared" si="7"/>
        <v>1990</v>
      </c>
      <c r="C86" t="s">
        <v>5</v>
      </c>
      <c r="D86">
        <v>1.7315508987444601</v>
      </c>
      <c r="E86">
        <v>4.7143649011945303</v>
      </c>
      <c r="F86">
        <v>4.4033489122759502</v>
      </c>
      <c r="G86">
        <v>2.7664319644240698</v>
      </c>
      <c r="H86">
        <v>14.2974662717999</v>
      </c>
      <c r="I86">
        <v>-2.4943473363647701</v>
      </c>
      <c r="J86">
        <v>-0.89998341350140898</v>
      </c>
      <c r="K86">
        <v>0</v>
      </c>
      <c r="L86">
        <v>25.1252538930264</v>
      </c>
      <c r="M86" s="10">
        <v>-0.14353782013102323</v>
      </c>
    </row>
    <row r="87" spans="1:13" x14ac:dyDescent="0.2">
      <c r="A87" s="27">
        <v>2</v>
      </c>
      <c r="B87" s="6">
        <f t="shared" si="7"/>
        <v>1991</v>
      </c>
      <c r="C87" t="s">
        <v>5</v>
      </c>
      <c r="D87">
        <v>0.21122753138831199</v>
      </c>
      <c r="E87">
        <v>3.46329092874366</v>
      </c>
      <c r="F87">
        <v>11.372516055277201</v>
      </c>
      <c r="G87">
        <v>2.7664319644240698</v>
      </c>
      <c r="H87">
        <v>15.979763079960501</v>
      </c>
      <c r="I87">
        <v>-5.9538609152726201</v>
      </c>
      <c r="J87">
        <v>1.20075192126942</v>
      </c>
      <c r="K87">
        <v>-0.36971560338200782</v>
      </c>
      <c r="L87">
        <v>19.7917081524552</v>
      </c>
      <c r="M87" s="10">
        <v>-4.9605934167825438E-2</v>
      </c>
    </row>
    <row r="88" spans="1:13" x14ac:dyDescent="0.2">
      <c r="A88" s="27">
        <v>2</v>
      </c>
      <c r="B88" s="6">
        <f t="shared" si="7"/>
        <v>1992</v>
      </c>
      <c r="C88" t="s">
        <v>5</v>
      </c>
      <c r="D88">
        <v>-1.48143799114804</v>
      </c>
      <c r="E88">
        <v>2.45749840636346</v>
      </c>
      <c r="F88">
        <v>14.060388016542699</v>
      </c>
      <c r="G88">
        <v>2.7664319644240698</v>
      </c>
      <c r="H88">
        <v>18.793188548864698</v>
      </c>
      <c r="I88">
        <v>-3.4508364273497198</v>
      </c>
      <c r="J88">
        <v>2.1337977552938501</v>
      </c>
      <c r="K88">
        <v>4.7256097560972155E-2</v>
      </c>
      <c r="L88">
        <v>1.3644509936676099</v>
      </c>
      <c r="M88" s="10">
        <v>-8.9024390243903517E-2</v>
      </c>
    </row>
    <row r="89" spans="1:13" x14ac:dyDescent="0.2">
      <c r="A89" s="27">
        <v>2</v>
      </c>
      <c r="B89" s="6">
        <f t="shared" si="7"/>
        <v>1993</v>
      </c>
      <c r="C89" t="s">
        <v>5</v>
      </c>
      <c r="D89">
        <v>-2.1312437900821899</v>
      </c>
      <c r="E89">
        <v>1.63019317646406</v>
      </c>
      <c r="F89">
        <v>9.6967149725967303</v>
      </c>
      <c r="G89">
        <v>2.7664319644240698</v>
      </c>
      <c r="H89">
        <v>18.126850937808499</v>
      </c>
      <c r="I89">
        <v>0.76826164949313303</v>
      </c>
      <c r="J89">
        <v>-1.2113672803671101</v>
      </c>
      <c r="K89">
        <v>0.78719068413390647</v>
      </c>
      <c r="L89">
        <v>-15.635031263690299</v>
      </c>
      <c r="M89" s="10">
        <v>0.24792503346720252</v>
      </c>
    </row>
    <row r="90" spans="1:13" x14ac:dyDescent="0.2">
      <c r="A90" s="27">
        <v>2</v>
      </c>
      <c r="B90" s="6">
        <f t="shared" si="7"/>
        <v>1994</v>
      </c>
      <c r="C90" t="s">
        <v>5</v>
      </c>
      <c r="D90">
        <v>-1.4128804985999399</v>
      </c>
      <c r="E90">
        <v>2.0672653196973401</v>
      </c>
      <c r="F90">
        <v>6.6557950304293403</v>
      </c>
      <c r="G90">
        <v>2.7664319644240698</v>
      </c>
      <c r="H90">
        <v>15.918065153010801</v>
      </c>
      <c r="I90">
        <v>2.2503858829418699</v>
      </c>
      <c r="J90">
        <v>-5.3336650633051299</v>
      </c>
      <c r="K90">
        <v>0.54618015963512634</v>
      </c>
      <c r="L90">
        <v>-5.5067903938826799</v>
      </c>
      <c r="M90" s="10">
        <v>-1.2658227848100778E-2</v>
      </c>
    </row>
    <row r="91" spans="1:13" x14ac:dyDescent="0.2">
      <c r="A91" s="27">
        <v>2</v>
      </c>
      <c r="B91" s="6">
        <f t="shared" si="7"/>
        <v>1995</v>
      </c>
      <c r="C91" t="s">
        <v>5</v>
      </c>
      <c r="D91">
        <v>-1.2973082829012701</v>
      </c>
      <c r="E91">
        <v>-0.27718189628890499</v>
      </c>
      <c r="F91">
        <v>-1.04771191284763</v>
      </c>
      <c r="G91">
        <v>2.7664319644240698</v>
      </c>
      <c r="H91">
        <v>13.5735439289239</v>
      </c>
      <c r="I91">
        <v>4.5161236494096899</v>
      </c>
      <c r="J91">
        <v>-2.4564604412008602</v>
      </c>
      <c r="K91">
        <v>0.16403286978507681</v>
      </c>
      <c r="L91">
        <v>2.6727468238480299</v>
      </c>
      <c r="M91" s="10">
        <v>0</v>
      </c>
    </row>
    <row r="92" spans="1:13" x14ac:dyDescent="0.2">
      <c r="A92" s="27">
        <v>2</v>
      </c>
      <c r="B92" s="6">
        <f t="shared" si="7"/>
        <v>1996</v>
      </c>
      <c r="C92" t="s">
        <v>5</v>
      </c>
      <c r="D92">
        <v>-1.1509800379369499</v>
      </c>
      <c r="E92">
        <v>0.71419860868601104</v>
      </c>
      <c r="F92">
        <v>-10.610604888873899</v>
      </c>
      <c r="G92">
        <v>2.7664319644240698</v>
      </c>
      <c r="H92">
        <v>14.7046725896676</v>
      </c>
      <c r="I92">
        <v>3.09440574026948</v>
      </c>
      <c r="J92">
        <v>-3.7431304251672399</v>
      </c>
      <c r="K92">
        <v>0.3272694361480748</v>
      </c>
      <c r="L92">
        <v>-5.8688119797682203</v>
      </c>
      <c r="M92" s="10">
        <v>-4.6718817905259113E-2</v>
      </c>
    </row>
    <row r="93" spans="1:13" x14ac:dyDescent="0.2">
      <c r="A93" s="27">
        <v>2</v>
      </c>
      <c r="B93" s="6">
        <f t="shared" si="7"/>
        <v>1997</v>
      </c>
      <c r="C93" t="s">
        <v>5</v>
      </c>
      <c r="D93">
        <v>-0.83312257248667598</v>
      </c>
      <c r="E93">
        <v>1.4833014606025301</v>
      </c>
      <c r="F93">
        <v>-17.330284792037901</v>
      </c>
      <c r="G93">
        <v>2.7664319644240698</v>
      </c>
      <c r="H93">
        <v>14.001316222441501</v>
      </c>
      <c r="I93">
        <v>6.3730340828500998</v>
      </c>
      <c r="J93">
        <v>-2.9211035550395299</v>
      </c>
      <c r="K93">
        <v>0.55076713262870602</v>
      </c>
      <c r="L93">
        <v>-10.866621530128601</v>
      </c>
      <c r="M93" s="10">
        <v>-2.3934351493047235E-2</v>
      </c>
    </row>
    <row r="94" spans="1:13" x14ac:dyDescent="0.2">
      <c r="A94" s="27">
        <v>2</v>
      </c>
      <c r="B94" s="6">
        <f t="shared" si="7"/>
        <v>1998</v>
      </c>
      <c r="C94" t="s">
        <v>5</v>
      </c>
      <c r="D94">
        <v>-0.34373588655044601</v>
      </c>
      <c r="E94">
        <v>0.795681937862035</v>
      </c>
      <c r="F94">
        <v>-17.857503110184599</v>
      </c>
      <c r="G94">
        <v>2.7664319644240698</v>
      </c>
      <c r="H94">
        <v>13.832675222112499</v>
      </c>
      <c r="I94">
        <v>5.6565016061073603</v>
      </c>
      <c r="J94">
        <v>-0.88317576159672795</v>
      </c>
      <c r="K94">
        <v>0.25252836162166825</v>
      </c>
      <c r="L94">
        <v>-5.8281890955434204</v>
      </c>
      <c r="M94" s="10">
        <v>-9.4348435310602108E-2</v>
      </c>
    </row>
    <row r="95" spans="1:13" ht="16" thickBot="1" x14ac:dyDescent="0.25">
      <c r="A95" s="27">
        <v>2</v>
      </c>
      <c r="B95" s="7">
        <f t="shared" si="7"/>
        <v>1999</v>
      </c>
      <c r="C95" s="8" t="s">
        <v>5</v>
      </c>
      <c r="D95" s="8">
        <v>0.37381447023755798</v>
      </c>
      <c r="E95" s="8">
        <v>1.5772567279177401</v>
      </c>
      <c r="F95" s="8">
        <v>-15.294374768837599</v>
      </c>
      <c r="G95" s="8">
        <v>2.7664319644240698</v>
      </c>
      <c r="H95" s="8">
        <v>0</v>
      </c>
      <c r="I95" s="8">
        <v>4.1596929623294701</v>
      </c>
      <c r="J95" s="8">
        <v>-2.4420854757560599</v>
      </c>
      <c r="K95" s="8">
        <v>0.4278392136212037</v>
      </c>
      <c r="L95" s="8">
        <v>-10.330160500219</v>
      </c>
      <c r="M95" s="11">
        <v>3.7132542547702929E-2</v>
      </c>
    </row>
    <row r="96" spans="1:13" x14ac:dyDescent="0.2">
      <c r="A96" s="27">
        <v>2</v>
      </c>
      <c r="B96" s="4">
        <v>1987</v>
      </c>
      <c r="C96" s="5" t="s">
        <v>6</v>
      </c>
      <c r="D96" s="5">
        <v>1.4362059969582199</v>
      </c>
      <c r="E96" s="5">
        <v>5.0118133837997902</v>
      </c>
      <c r="F96" s="5">
        <v>4.0863245039547502</v>
      </c>
      <c r="G96" s="5">
        <v>9.1403909700132697</v>
      </c>
      <c r="H96" s="5">
        <v>4.5320567618396304</v>
      </c>
      <c r="I96" s="5">
        <v>3.6458481754136001</v>
      </c>
      <c r="J96" s="5">
        <v>-0.67094270641245402</v>
      </c>
      <c r="K96" s="5">
        <v>0.1</v>
      </c>
      <c r="L96" s="5">
        <v>0.391408037642207</v>
      </c>
      <c r="M96" s="9">
        <v>0</v>
      </c>
    </row>
    <row r="97" spans="1:13" x14ac:dyDescent="0.2">
      <c r="A97" s="27">
        <v>2</v>
      </c>
      <c r="B97" s="6">
        <f>B96+1</f>
        <v>1988</v>
      </c>
      <c r="C97" t="s">
        <v>6</v>
      </c>
      <c r="D97">
        <v>1.97861876797033</v>
      </c>
      <c r="E97">
        <v>5.4416794987833903</v>
      </c>
      <c r="F97">
        <v>5.2632294925860599</v>
      </c>
      <c r="G97">
        <v>10.6397270004014</v>
      </c>
      <c r="H97">
        <v>4.2140536843904899</v>
      </c>
      <c r="I97">
        <v>1.38621071796089</v>
      </c>
      <c r="J97">
        <v>-1.1042765742507601</v>
      </c>
      <c r="K97">
        <v>0.21332644628099162</v>
      </c>
      <c r="L97">
        <v>2.3270166618324502</v>
      </c>
      <c r="M97" s="10">
        <v>2.2978390534897919E-3</v>
      </c>
    </row>
    <row r="98" spans="1:13" x14ac:dyDescent="0.2">
      <c r="A98" s="27">
        <v>2</v>
      </c>
      <c r="B98" s="6">
        <f t="shared" ref="B98:B109" si="8">B97+1</f>
        <v>1989</v>
      </c>
      <c r="C98" t="s">
        <v>6</v>
      </c>
      <c r="D98">
        <v>2.5901930527647901</v>
      </c>
      <c r="E98">
        <v>6.2902448485418399</v>
      </c>
      <c r="F98">
        <v>5.3774996599102201</v>
      </c>
      <c r="G98">
        <v>12.6141358615649</v>
      </c>
      <c r="H98">
        <v>4.2140536843904899</v>
      </c>
      <c r="I98">
        <v>2.5719939840101298</v>
      </c>
      <c r="J98">
        <v>1.1755367766143301</v>
      </c>
      <c r="K98">
        <v>0.30395913154533716</v>
      </c>
      <c r="L98">
        <v>7.0548519127267797</v>
      </c>
      <c r="M98" s="10">
        <v>-0.10948246427003594</v>
      </c>
    </row>
    <row r="99" spans="1:13" x14ac:dyDescent="0.2">
      <c r="A99" s="27">
        <v>2</v>
      </c>
      <c r="B99" s="6">
        <f t="shared" si="8"/>
        <v>1990</v>
      </c>
      <c r="C99" t="s">
        <v>6</v>
      </c>
      <c r="D99">
        <v>2.7344220073490999</v>
      </c>
      <c r="E99">
        <v>7.5395248786336397</v>
      </c>
      <c r="F99">
        <v>4.8255825252152196</v>
      </c>
      <c r="G99">
        <v>14.359243589347599</v>
      </c>
      <c r="H99">
        <v>3.69909386219866</v>
      </c>
      <c r="I99">
        <v>1.2654159740362501</v>
      </c>
      <c r="J99">
        <v>1.0944630630341601</v>
      </c>
      <c r="K99">
        <v>0.13581456088801169</v>
      </c>
      <c r="L99">
        <v>10.9138225530954</v>
      </c>
      <c r="M99" s="10">
        <v>1.8842604004053687E-2</v>
      </c>
    </row>
    <row r="100" spans="1:13" x14ac:dyDescent="0.2">
      <c r="A100" s="27">
        <v>2</v>
      </c>
      <c r="B100" s="6">
        <f t="shared" si="8"/>
        <v>1991</v>
      </c>
      <c r="C100" t="s">
        <v>6</v>
      </c>
      <c r="D100">
        <v>1.7249747443910299</v>
      </c>
      <c r="E100">
        <v>7.18383035745771</v>
      </c>
      <c r="F100">
        <v>4.6825504790407502</v>
      </c>
      <c r="G100">
        <v>10.9974470625778</v>
      </c>
      <c r="H100">
        <v>6.2800478714310097</v>
      </c>
      <c r="I100">
        <v>-1.4264228607614899</v>
      </c>
      <c r="J100">
        <v>1.91879800522746</v>
      </c>
      <c r="K100">
        <v>-0.17188847369933369</v>
      </c>
      <c r="L100">
        <v>11.9702536336974</v>
      </c>
      <c r="M100" s="10">
        <v>-0.10752399129055823</v>
      </c>
    </row>
    <row r="101" spans="1:13" x14ac:dyDescent="0.2">
      <c r="A101" s="27">
        <v>2</v>
      </c>
      <c r="B101" s="6">
        <f t="shared" si="8"/>
        <v>1992</v>
      </c>
      <c r="C101" t="s">
        <v>6</v>
      </c>
      <c r="D101">
        <v>-5.7449572042317598E-2</v>
      </c>
      <c r="E101">
        <v>3.9135801017949299</v>
      </c>
      <c r="F101">
        <v>8.8709019181063802</v>
      </c>
      <c r="G101">
        <v>19.435522888936902</v>
      </c>
      <c r="H101">
        <v>4.76799452897931</v>
      </c>
      <c r="I101">
        <v>1.13797197815245</v>
      </c>
      <c r="J101">
        <v>3.0120103266359801</v>
      </c>
      <c r="K101">
        <v>4.3387712599792128E-2</v>
      </c>
      <c r="L101">
        <v>14.774726868413399</v>
      </c>
      <c r="M101" s="10">
        <v>-8.6804614318848228E-2</v>
      </c>
    </row>
    <row r="102" spans="1:13" x14ac:dyDescent="0.2">
      <c r="A102" s="27">
        <v>2</v>
      </c>
      <c r="B102" s="6">
        <f t="shared" si="8"/>
        <v>1993</v>
      </c>
      <c r="C102" t="s">
        <v>6</v>
      </c>
      <c r="D102">
        <v>-1.46438126533376</v>
      </c>
      <c r="E102">
        <v>3.5093390382377501</v>
      </c>
      <c r="F102">
        <v>13.2792428629729</v>
      </c>
      <c r="G102">
        <v>8.1974511802188399</v>
      </c>
      <c r="H102">
        <v>4.5771926825098204</v>
      </c>
      <c r="I102">
        <v>-0.54650518483337096</v>
      </c>
      <c r="J102">
        <v>0.50052114234402001</v>
      </c>
      <c r="K102">
        <v>-7.8842315369262117E-2</v>
      </c>
      <c r="L102">
        <v>-0.93315930258789503</v>
      </c>
      <c r="M102" s="10">
        <v>0.20703189419176904</v>
      </c>
    </row>
    <row r="103" spans="1:13" x14ac:dyDescent="0.2">
      <c r="A103" s="27">
        <v>2</v>
      </c>
      <c r="B103" s="6">
        <f t="shared" si="8"/>
        <v>1994</v>
      </c>
      <c r="C103" t="s">
        <v>6</v>
      </c>
      <c r="D103">
        <v>-1.29256541480256</v>
      </c>
      <c r="E103">
        <v>3.4969966969543802</v>
      </c>
      <c r="F103">
        <v>11.8598052743067</v>
      </c>
      <c r="G103">
        <v>7.7288121635115203</v>
      </c>
      <c r="H103">
        <v>9.7165327406394209</v>
      </c>
      <c r="I103">
        <v>3.62035937623684</v>
      </c>
      <c r="J103">
        <v>-1.60303385019963</v>
      </c>
      <c r="K103">
        <v>0.33658360418923561</v>
      </c>
      <c r="L103">
        <v>-4.5890940732862902</v>
      </c>
      <c r="M103" s="10">
        <v>0.24005355776587534</v>
      </c>
    </row>
    <row r="104" spans="1:13" x14ac:dyDescent="0.2">
      <c r="A104" s="27">
        <v>2</v>
      </c>
      <c r="B104" s="6">
        <f t="shared" si="8"/>
        <v>1995</v>
      </c>
      <c r="C104" t="s">
        <v>6</v>
      </c>
      <c r="D104">
        <v>-0.87938365212757497</v>
      </c>
      <c r="E104">
        <v>2.8003009180350902</v>
      </c>
      <c r="F104">
        <v>1.2793205977806801</v>
      </c>
      <c r="G104">
        <v>9.0320455411094898</v>
      </c>
      <c r="H104">
        <v>9.2077278167207997</v>
      </c>
      <c r="I104">
        <v>3.9118182537797801</v>
      </c>
      <c r="J104">
        <v>-1.2004874685310201</v>
      </c>
      <c r="K104">
        <v>0.34666306403674318</v>
      </c>
      <c r="L104">
        <v>-7.8982564697541102</v>
      </c>
      <c r="M104" s="10">
        <v>-8.7525616447416743E-2</v>
      </c>
    </row>
    <row r="105" spans="1:13" x14ac:dyDescent="0.2">
      <c r="A105" s="27">
        <v>2</v>
      </c>
      <c r="B105" s="6">
        <f t="shared" si="8"/>
        <v>1996</v>
      </c>
      <c r="C105" t="s">
        <v>6</v>
      </c>
      <c r="D105">
        <v>-0.63001365468088999</v>
      </c>
      <c r="E105">
        <v>1.6643353355353601</v>
      </c>
      <c r="F105">
        <v>-8.9109353440736996</v>
      </c>
      <c r="G105">
        <v>5.2695510741895903</v>
      </c>
      <c r="H105">
        <v>7.2750897589331496</v>
      </c>
      <c r="I105">
        <v>2.3980052244122501</v>
      </c>
      <c r="J105">
        <v>-2.0486827125058</v>
      </c>
      <c r="K105">
        <v>0.17295345104334348</v>
      </c>
      <c r="L105">
        <v>5.7425311805085499</v>
      </c>
      <c r="M105" s="10">
        <v>-5.7620324084131203E-2</v>
      </c>
    </row>
    <row r="106" spans="1:13" x14ac:dyDescent="0.2">
      <c r="A106" s="27">
        <v>2</v>
      </c>
      <c r="B106" s="6">
        <f t="shared" si="8"/>
        <v>1997</v>
      </c>
      <c r="C106" t="s">
        <v>6</v>
      </c>
      <c r="D106">
        <v>-0.71246350425737304</v>
      </c>
      <c r="E106">
        <v>0.67929895501510196</v>
      </c>
      <c r="F106">
        <v>-5.7789999416988902</v>
      </c>
      <c r="G106">
        <v>3.84690610749101</v>
      </c>
      <c r="H106">
        <v>3.70524876047187</v>
      </c>
      <c r="I106">
        <v>2.8878334520699802</v>
      </c>
      <c r="J106">
        <v>-2.8930295207093901</v>
      </c>
      <c r="K106">
        <v>0.35819363667464654</v>
      </c>
      <c r="L106">
        <v>-1.58480776048212</v>
      </c>
      <c r="M106" s="10">
        <v>-2.9905440381319148E-2</v>
      </c>
    </row>
    <row r="107" spans="1:13" x14ac:dyDescent="0.2">
      <c r="A107" s="27">
        <v>2</v>
      </c>
      <c r="B107" s="6">
        <f t="shared" si="8"/>
        <v>1998</v>
      </c>
      <c r="C107" t="s">
        <v>6</v>
      </c>
      <c r="D107">
        <v>-4.01203388137059E-2</v>
      </c>
      <c r="E107">
        <v>0.75876012365850398</v>
      </c>
      <c r="F107">
        <v>5.1110636065061499E-2</v>
      </c>
      <c r="G107">
        <v>3.9812441452291898</v>
      </c>
      <c r="H107">
        <v>3.3975038468114098</v>
      </c>
      <c r="I107">
        <v>4.5712024063959502</v>
      </c>
      <c r="J107">
        <v>-1.7233616086461501</v>
      </c>
      <c r="K107">
        <v>0.20982367758186715</v>
      </c>
      <c r="L107">
        <v>0.69628412130586503</v>
      </c>
      <c r="M107" s="10">
        <v>-8.2496830092985252E-2</v>
      </c>
    </row>
    <row r="108" spans="1:13" x14ac:dyDescent="0.2">
      <c r="A108" s="27">
        <v>2</v>
      </c>
      <c r="B108" s="6">
        <f t="shared" si="8"/>
        <v>1999</v>
      </c>
      <c r="C108" t="s">
        <v>6</v>
      </c>
      <c r="D108">
        <v>0.69928618212902005</v>
      </c>
      <c r="E108">
        <v>0.99032595535599199</v>
      </c>
      <c r="F108">
        <v>0.60535981499114599</v>
      </c>
      <c r="G108">
        <v>3.1057307268665699</v>
      </c>
      <c r="H108">
        <v>3.3687809882030999</v>
      </c>
      <c r="I108">
        <v>4.4703554183487704</v>
      </c>
      <c r="J108">
        <v>-1.8113625066145</v>
      </c>
      <c r="K108">
        <v>0.13449927128877714</v>
      </c>
      <c r="L108">
        <v>-1.21225305359503</v>
      </c>
      <c r="M108" s="10">
        <v>-3.2245990844423922E-3</v>
      </c>
    </row>
    <row r="109" spans="1:13" ht="16" thickBot="1" x14ac:dyDescent="0.25">
      <c r="A109" s="27">
        <v>2</v>
      </c>
      <c r="B109" s="7">
        <f t="shared" si="8"/>
        <v>2000</v>
      </c>
      <c r="C109" s="8" t="s">
        <v>6</v>
      </c>
      <c r="D109" s="8">
        <v>1.18372761686963</v>
      </c>
      <c r="E109" s="8">
        <v>0.63757008686657402</v>
      </c>
      <c r="F109" s="8">
        <v>-4.41086732611695</v>
      </c>
      <c r="G109" s="8">
        <v>3.9050677866650201</v>
      </c>
      <c r="H109" s="8">
        <v>3.5021371174559701</v>
      </c>
      <c r="I109" s="8">
        <v>5.4987730546980202</v>
      </c>
      <c r="J109" s="8">
        <v>-1.12993281272549</v>
      </c>
      <c r="K109" s="8">
        <v>0.50816663608001567</v>
      </c>
      <c r="L109" s="8">
        <v>2.0787005704335101E-2</v>
      </c>
      <c r="M109" s="11">
        <v>4.9132029692963819E-2</v>
      </c>
    </row>
    <row r="110" spans="1:13" x14ac:dyDescent="0.2">
      <c r="A110" s="27">
        <v>2</v>
      </c>
      <c r="B110" s="4">
        <v>1987</v>
      </c>
      <c r="C110" s="5" t="s">
        <v>0</v>
      </c>
      <c r="D110" s="5">
        <v>1.03643897538924</v>
      </c>
      <c r="E110" s="5">
        <v>1.65172326620038</v>
      </c>
      <c r="F110" s="5">
        <v>14.820739106453299</v>
      </c>
      <c r="G110" s="5">
        <v>4.0639545092318698</v>
      </c>
      <c r="H110" s="5">
        <v>7.4358899168658397</v>
      </c>
      <c r="I110" s="5">
        <v>3.588839560582</v>
      </c>
      <c r="J110" s="5">
        <v>-1.6147087664247799</v>
      </c>
      <c r="K110" s="5">
        <v>0.1</v>
      </c>
      <c r="L110" s="5">
        <v>-17.34497921605</v>
      </c>
      <c r="M110" s="9">
        <v>0</v>
      </c>
    </row>
    <row r="111" spans="1:13" x14ac:dyDescent="0.2">
      <c r="A111" s="27">
        <v>2</v>
      </c>
      <c r="B111" s="6">
        <f>B110+1</f>
        <v>1988</v>
      </c>
      <c r="C111" t="s">
        <v>0</v>
      </c>
      <c r="D111">
        <v>0.93500753390255997</v>
      </c>
      <c r="E111">
        <v>2.0231454172635499</v>
      </c>
      <c r="F111">
        <v>10.0498621070049</v>
      </c>
      <c r="G111">
        <v>6.7743560652106298</v>
      </c>
      <c r="H111">
        <v>8.9072328196706891</v>
      </c>
      <c r="I111">
        <v>4.9253702323471202</v>
      </c>
      <c r="J111">
        <v>-0.57991763090802395</v>
      </c>
      <c r="K111">
        <v>0.17672259907175936</v>
      </c>
      <c r="L111">
        <v>-5.29836133154694</v>
      </c>
      <c r="M111" s="10">
        <v>-1.5203595980963769E-2</v>
      </c>
    </row>
    <row r="112" spans="1:13" x14ac:dyDescent="0.2">
      <c r="A112" s="27">
        <v>2</v>
      </c>
      <c r="B112" s="6">
        <f t="shared" ref="B112:B136" si="9">B111+1</f>
        <v>1989</v>
      </c>
      <c r="C112" t="s">
        <v>0</v>
      </c>
      <c r="D112">
        <v>0.43224510296333302</v>
      </c>
      <c r="E112">
        <v>2.7695289458161199</v>
      </c>
      <c r="F112">
        <v>4.6303364589078697</v>
      </c>
      <c r="G112">
        <v>6.9749314531923199</v>
      </c>
      <c r="H112">
        <v>8.9072328196706891</v>
      </c>
      <c r="I112">
        <v>3.1564211413201999</v>
      </c>
      <c r="J112">
        <v>0.33990978623259199</v>
      </c>
      <c r="K112">
        <v>-0.17202669902912593</v>
      </c>
      <c r="L112">
        <v>14.6454704730495</v>
      </c>
      <c r="M112" s="10">
        <v>-9.4442207007651269E-2</v>
      </c>
    </row>
    <row r="113" spans="1:13" x14ac:dyDescent="0.2">
      <c r="A113" s="27">
        <v>2</v>
      </c>
      <c r="B113" s="6">
        <f t="shared" si="9"/>
        <v>1990</v>
      </c>
      <c r="C113" t="s">
        <v>0</v>
      </c>
      <c r="D113">
        <v>-0.33174284279256799</v>
      </c>
      <c r="E113">
        <v>2.3902418471391198</v>
      </c>
      <c r="F113">
        <v>1.5909542195256401</v>
      </c>
      <c r="G113">
        <v>4.0676013344678896</v>
      </c>
      <c r="H113">
        <v>8.5139949855578401</v>
      </c>
      <c r="I113">
        <v>0.34959007096795602</v>
      </c>
      <c r="J113">
        <v>1.0009805844283099</v>
      </c>
      <c r="K113">
        <v>-0.11029681201905528</v>
      </c>
      <c r="L113">
        <v>18.5447799649593</v>
      </c>
      <c r="M113" s="10">
        <v>-8.7020976947595252E-2</v>
      </c>
    </row>
    <row r="114" spans="1:13" x14ac:dyDescent="0.2">
      <c r="A114" s="27">
        <v>2</v>
      </c>
      <c r="B114" s="6">
        <f t="shared" si="9"/>
        <v>1991</v>
      </c>
      <c r="C114" t="s">
        <v>0</v>
      </c>
      <c r="D114">
        <v>-1.1133098945253601</v>
      </c>
      <c r="E114">
        <v>1.4069267717198899</v>
      </c>
      <c r="F114">
        <v>1.7842250413678999</v>
      </c>
      <c r="G114">
        <v>1.9575752664208399</v>
      </c>
      <c r="H114">
        <v>8.1207571514449892</v>
      </c>
      <c r="I114">
        <v>-1.4181924236041299</v>
      </c>
      <c r="J114">
        <v>-1.3524220435379499</v>
      </c>
      <c r="K114">
        <v>-0.19728171334431599</v>
      </c>
      <c r="L114">
        <v>11.3966470850939</v>
      </c>
      <c r="M114" s="10">
        <v>-0.1143947389786456</v>
      </c>
    </row>
    <row r="115" spans="1:13" x14ac:dyDescent="0.2">
      <c r="A115" s="27">
        <v>2</v>
      </c>
      <c r="B115" s="6">
        <f t="shared" si="9"/>
        <v>1992</v>
      </c>
      <c r="C115" t="s">
        <v>0</v>
      </c>
      <c r="D115">
        <v>-1.2507785032646901</v>
      </c>
      <c r="E115">
        <v>0.68561276368641</v>
      </c>
      <c r="F115">
        <v>3.7231108659680099</v>
      </c>
      <c r="G115">
        <v>1.1223172197684901</v>
      </c>
      <c r="H115">
        <v>8.1207571514449892</v>
      </c>
      <c r="I115">
        <v>1.46757834019248</v>
      </c>
      <c r="J115">
        <v>-1.92547558344773</v>
      </c>
      <c r="K115">
        <v>0.39148281169830668</v>
      </c>
      <c r="L115">
        <v>-5.1697069634820902</v>
      </c>
      <c r="M115" s="10">
        <v>-4.2537587092042806E-2</v>
      </c>
    </row>
    <row r="116" spans="1:13" x14ac:dyDescent="0.2">
      <c r="A116" s="27">
        <v>2</v>
      </c>
      <c r="B116" s="6">
        <f t="shared" si="9"/>
        <v>1993</v>
      </c>
      <c r="C116" t="s">
        <v>0</v>
      </c>
      <c r="D116">
        <v>-1.21263184329482</v>
      </c>
      <c r="E116">
        <v>0.228266059942136</v>
      </c>
      <c r="F116">
        <v>5.0080529509100904</v>
      </c>
      <c r="G116">
        <v>0.20736928832880899</v>
      </c>
      <c r="H116">
        <v>8.8465316774921998</v>
      </c>
      <c r="I116">
        <v>2.7030039858712098</v>
      </c>
      <c r="J116">
        <v>-2.0680917827024898</v>
      </c>
      <c r="K116">
        <v>-1.2536873156341888E-2</v>
      </c>
      <c r="L116">
        <v>1.5215225531622401</v>
      </c>
      <c r="M116" s="10">
        <v>-0.11221754117196625</v>
      </c>
    </row>
    <row r="117" spans="1:13" x14ac:dyDescent="0.2">
      <c r="A117" s="27">
        <v>2</v>
      </c>
      <c r="B117" s="6">
        <f t="shared" si="9"/>
        <v>1994</v>
      </c>
      <c r="C117" t="s">
        <v>0</v>
      </c>
      <c r="D117">
        <v>-0.84505273731793196</v>
      </c>
      <c r="E117">
        <v>0.22512008089660099</v>
      </c>
      <c r="F117">
        <v>4.1273028130170903</v>
      </c>
      <c r="G117">
        <v>0.169415292353818</v>
      </c>
      <c r="H117">
        <v>9.5709866134920603</v>
      </c>
      <c r="I117">
        <v>1.5500178230013899</v>
      </c>
      <c r="J117">
        <v>-2.3536771916061898</v>
      </c>
      <c r="K117">
        <v>0</v>
      </c>
      <c r="L117">
        <v>12.9813803291078</v>
      </c>
      <c r="M117" s="10">
        <v>0.12801984469370309</v>
      </c>
    </row>
    <row r="118" spans="1:13" x14ac:dyDescent="0.2">
      <c r="A118" s="27">
        <v>2</v>
      </c>
      <c r="B118" s="6">
        <f t="shared" si="9"/>
        <v>1995</v>
      </c>
      <c r="C118" t="s">
        <v>0</v>
      </c>
      <c r="D118">
        <v>-1.0514314414866901</v>
      </c>
      <c r="E118">
        <v>0.33218168028987799</v>
      </c>
      <c r="F118">
        <v>5.4087148372862597</v>
      </c>
      <c r="G118">
        <v>0.169415292353818</v>
      </c>
      <c r="H118">
        <v>10.6715247129891</v>
      </c>
      <c r="I118">
        <v>-0.73378917009623701</v>
      </c>
      <c r="J118">
        <v>-1.6640125514806801</v>
      </c>
      <c r="K118">
        <v>-0.1852128454070201</v>
      </c>
      <c r="L118">
        <v>19.998454086365001</v>
      </c>
      <c r="M118" s="10">
        <v>7.6489148102187876E-4</v>
      </c>
    </row>
    <row r="119" spans="1:13" x14ac:dyDescent="0.2">
      <c r="A119" s="27">
        <v>2</v>
      </c>
      <c r="B119" s="6">
        <f t="shared" si="9"/>
        <v>1996</v>
      </c>
      <c r="C119" t="s">
        <v>0</v>
      </c>
      <c r="D119">
        <v>-1.3799849321948701</v>
      </c>
      <c r="E119">
        <v>-0.16399820229768999</v>
      </c>
      <c r="F119">
        <v>6.25239933811363</v>
      </c>
      <c r="G119">
        <v>1.19264691978315E-2</v>
      </c>
      <c r="H119">
        <v>12.1507851560782</v>
      </c>
      <c r="I119">
        <v>-0.12599241712304299</v>
      </c>
      <c r="J119">
        <v>-0.91657187683859698</v>
      </c>
      <c r="K119">
        <v>-0.10632447296058767</v>
      </c>
      <c r="L119">
        <v>7.2015527843622298</v>
      </c>
      <c r="M119" s="10">
        <v>-0.24668004203687866</v>
      </c>
    </row>
    <row r="120" spans="1:13" x14ac:dyDescent="0.2">
      <c r="A120" s="27">
        <v>2</v>
      </c>
      <c r="B120" s="6">
        <f t="shared" si="9"/>
        <v>1997</v>
      </c>
      <c r="C120" t="s">
        <v>0</v>
      </c>
      <c r="D120">
        <v>-1.0990708186840701</v>
      </c>
      <c r="E120">
        <v>-0.39306480155051898</v>
      </c>
      <c r="F120">
        <v>5.1624931053502303</v>
      </c>
      <c r="G120">
        <v>1.35472804138458E-2</v>
      </c>
      <c r="H120">
        <v>14.755655909564</v>
      </c>
      <c r="I120">
        <v>1.5243527009948401</v>
      </c>
      <c r="J120">
        <v>-1.5764659737203299</v>
      </c>
      <c r="K120">
        <v>0.37589743589743829</v>
      </c>
      <c r="L120">
        <v>-7.8437940155965498</v>
      </c>
      <c r="M120" s="10">
        <v>3.0944831959416108E-2</v>
      </c>
    </row>
    <row r="121" spans="1:13" x14ac:dyDescent="0.2">
      <c r="A121" s="27">
        <v>2</v>
      </c>
      <c r="B121" s="6">
        <f t="shared" si="9"/>
        <v>1998</v>
      </c>
      <c r="C121" t="s">
        <v>0</v>
      </c>
      <c r="D121">
        <v>-1.1314163736815599</v>
      </c>
      <c r="E121">
        <v>-0.85237774219825302</v>
      </c>
      <c r="F121">
        <v>3.2077220077220101</v>
      </c>
      <c r="G121">
        <v>-0.184191687939815</v>
      </c>
      <c r="H121">
        <v>16.240194712842499</v>
      </c>
      <c r="I121">
        <v>1.71956317443857</v>
      </c>
      <c r="J121">
        <v>-1.37442635810943</v>
      </c>
      <c r="K121">
        <v>-0.32463660081997836</v>
      </c>
      <c r="L121">
        <v>3.3335051015150099</v>
      </c>
      <c r="M121" s="10">
        <v>8.771066551851181E-2</v>
      </c>
    </row>
    <row r="122" spans="1:13" x14ac:dyDescent="0.2">
      <c r="A122" s="27">
        <v>2</v>
      </c>
      <c r="B122" s="6">
        <f t="shared" si="9"/>
        <v>1999</v>
      </c>
      <c r="C122" t="s">
        <v>0</v>
      </c>
      <c r="D122">
        <v>-1.4425665494726201</v>
      </c>
      <c r="E122">
        <v>-0.85237774219825302</v>
      </c>
      <c r="F122">
        <v>3.8422504136789599</v>
      </c>
      <c r="G122">
        <v>-0.184191687939815</v>
      </c>
      <c r="H122">
        <v>21.079131416506598</v>
      </c>
      <c r="I122">
        <v>0.67001523056482803</v>
      </c>
      <c r="J122">
        <v>-1.45914885271622</v>
      </c>
      <c r="K122">
        <v>-0.2400662251655632</v>
      </c>
      <c r="L122">
        <v>12.566560170394</v>
      </c>
      <c r="M122" s="10">
        <v>8.086405790545359E-2</v>
      </c>
    </row>
    <row r="123" spans="1:13" x14ac:dyDescent="0.2">
      <c r="A123" s="27">
        <v>2</v>
      </c>
      <c r="B123" s="6">
        <f t="shared" si="9"/>
        <v>2000</v>
      </c>
      <c r="C123" t="s">
        <v>0</v>
      </c>
      <c r="D123">
        <v>-1.0920391762933199</v>
      </c>
      <c r="E123">
        <v>-0.40958119153956501</v>
      </c>
      <c r="F123">
        <v>2.5273028130171</v>
      </c>
      <c r="G123">
        <v>-0.18230074152113501</v>
      </c>
      <c r="H123">
        <v>21.063296335938301</v>
      </c>
      <c r="I123">
        <v>2.00421270942027</v>
      </c>
      <c r="J123">
        <v>-0.76924887232790695</v>
      </c>
      <c r="K123">
        <v>0.13362381989833017</v>
      </c>
      <c r="L123">
        <v>-1.50125390772612</v>
      </c>
      <c r="M123" s="10">
        <v>0.12441142617976375</v>
      </c>
    </row>
    <row r="124" spans="1:13" x14ac:dyDescent="0.2">
      <c r="A124" s="27">
        <v>2</v>
      </c>
      <c r="B124" s="6">
        <f t="shared" si="9"/>
        <v>2001</v>
      </c>
      <c r="C124" t="s">
        <v>0</v>
      </c>
      <c r="D124">
        <v>-0.51491712707182402</v>
      </c>
      <c r="E124">
        <v>-0.60138760147187398</v>
      </c>
      <c r="F124">
        <v>-1.3822393822393899</v>
      </c>
      <c r="G124">
        <v>-0.140429785107446</v>
      </c>
      <c r="H124">
        <v>17.3235781417239</v>
      </c>
      <c r="I124">
        <v>1.37541722025989</v>
      </c>
      <c r="J124">
        <v>-1.42914296920965</v>
      </c>
      <c r="K124">
        <v>0.15951313260730315</v>
      </c>
      <c r="L124">
        <v>-3.3048198151774302</v>
      </c>
      <c r="M124" s="10">
        <v>8.8498045784477286E-2</v>
      </c>
    </row>
    <row r="125" spans="1:13" x14ac:dyDescent="0.2">
      <c r="A125" s="27">
        <v>2</v>
      </c>
      <c r="B125" s="6">
        <f t="shared" si="9"/>
        <v>2002</v>
      </c>
      <c r="C125" t="s">
        <v>0</v>
      </c>
      <c r="D125">
        <v>0.18385233550979199</v>
      </c>
      <c r="E125">
        <v>-0.45588607061599601</v>
      </c>
      <c r="F125">
        <v>-2.6954219525648102</v>
      </c>
      <c r="G125">
        <v>9.95853424639037E-2</v>
      </c>
      <c r="H125">
        <v>17.679867454510799</v>
      </c>
      <c r="I125">
        <v>1.36258465925661</v>
      </c>
      <c r="J125">
        <v>-1.4567954500882501</v>
      </c>
      <c r="K125">
        <v>0.40828729281767973</v>
      </c>
      <c r="L125">
        <v>0.87704833556631401</v>
      </c>
      <c r="M125" s="10">
        <v>0.58579122852012899</v>
      </c>
    </row>
    <row r="126" spans="1:13" x14ac:dyDescent="0.2">
      <c r="A126" s="27">
        <v>2</v>
      </c>
      <c r="B126" s="6">
        <f t="shared" si="9"/>
        <v>2003</v>
      </c>
      <c r="C126" t="s">
        <v>0</v>
      </c>
      <c r="D126">
        <v>0.51750376695127898</v>
      </c>
      <c r="E126">
        <v>-0.19703098227578</v>
      </c>
      <c r="F126">
        <v>-5.5168229453943596</v>
      </c>
      <c r="G126">
        <v>0.34000567283925398</v>
      </c>
      <c r="H126">
        <v>19.151210357315701</v>
      </c>
      <c r="I126">
        <v>0.52341294273956096</v>
      </c>
      <c r="J126">
        <v>-1.42667189645028</v>
      </c>
      <c r="K126">
        <v>-5.1000392310713849E-3</v>
      </c>
      <c r="L126">
        <v>-4.0334604417877804</v>
      </c>
      <c r="M126" s="10">
        <v>0.204054126907107</v>
      </c>
    </row>
    <row r="127" spans="1:13" x14ac:dyDescent="0.2">
      <c r="A127" s="27">
        <v>2</v>
      </c>
      <c r="B127" s="6">
        <f t="shared" si="9"/>
        <v>2004</v>
      </c>
      <c r="C127" t="s">
        <v>0</v>
      </c>
      <c r="D127">
        <v>-2.0592667001508799E-2</v>
      </c>
      <c r="E127">
        <v>0.73801297716355996</v>
      </c>
      <c r="F127">
        <v>-4.2389409817981196</v>
      </c>
      <c r="G127">
        <v>0.30151140645893099</v>
      </c>
      <c r="H127">
        <v>22.493731947274998</v>
      </c>
      <c r="I127">
        <v>-1.13626494701707</v>
      </c>
      <c r="J127">
        <v>-1.1963914493037799</v>
      </c>
      <c r="K127">
        <v>-0.12815457413249254</v>
      </c>
      <c r="L127">
        <v>-8.3463877151396808</v>
      </c>
      <c r="M127" s="10">
        <v>0.116459210172835</v>
      </c>
    </row>
    <row r="128" spans="1:13" x14ac:dyDescent="0.2">
      <c r="A128" s="27">
        <v>2</v>
      </c>
      <c r="B128" s="6">
        <f t="shared" si="9"/>
        <v>2005</v>
      </c>
      <c r="C128" t="s">
        <v>0</v>
      </c>
      <c r="D128">
        <v>-1.53362631843294</v>
      </c>
      <c r="E128">
        <v>-0.28177579281480902</v>
      </c>
      <c r="F128">
        <v>5.2675124103695401</v>
      </c>
      <c r="G128">
        <v>2.3137080108593701E-2</v>
      </c>
      <c r="H128">
        <v>26.2215738310631</v>
      </c>
      <c r="I128">
        <v>-9.0092355552674999</v>
      </c>
      <c r="J128">
        <v>-1.25240243184938</v>
      </c>
      <c r="K128">
        <v>-0.24649479873360503</v>
      </c>
      <c r="L128">
        <v>-2.2419183070527899</v>
      </c>
      <c r="M128" s="10">
        <v>-9.1036695408044377E-3</v>
      </c>
    </row>
    <row r="129" spans="1:13" x14ac:dyDescent="0.2">
      <c r="A129" s="27">
        <v>2</v>
      </c>
      <c r="B129" s="6">
        <f t="shared" si="9"/>
        <v>2006</v>
      </c>
      <c r="C129" t="s">
        <v>0</v>
      </c>
      <c r="D129">
        <v>-1.1827473631340999</v>
      </c>
      <c r="E129">
        <v>-1.41767085194236</v>
      </c>
      <c r="F129">
        <v>9.1399889685604006</v>
      </c>
      <c r="G129">
        <v>2.5298161729942498E-2</v>
      </c>
      <c r="H129">
        <v>29.946776534756498</v>
      </c>
      <c r="I129">
        <v>3.9100424511487701</v>
      </c>
      <c r="J129">
        <v>-1.22263188860561</v>
      </c>
      <c r="K129">
        <v>9.9639855942377897E-2</v>
      </c>
      <c r="L129">
        <v>10.73894671751</v>
      </c>
      <c r="M129" s="10">
        <v>0.21041767848469894</v>
      </c>
    </row>
    <row r="130" spans="1:13" x14ac:dyDescent="0.2">
      <c r="A130" s="27">
        <v>2</v>
      </c>
      <c r="B130" s="6">
        <f t="shared" si="9"/>
        <v>2007</v>
      </c>
      <c r="C130" t="s">
        <v>0</v>
      </c>
      <c r="D130">
        <v>-0.97144650929181398</v>
      </c>
      <c r="E130">
        <v>-0.81993483329119898</v>
      </c>
      <c r="F130">
        <v>6.9654715940430201</v>
      </c>
      <c r="G130">
        <v>2.71891081486259E-2</v>
      </c>
      <c r="H130">
        <v>29.946776534756498</v>
      </c>
      <c r="I130">
        <v>-0.33909070287436499</v>
      </c>
      <c r="J130">
        <v>-0.96316924887232902</v>
      </c>
      <c r="K130">
        <v>5.4585152838426687E-3</v>
      </c>
      <c r="L130">
        <v>10.553780617678299</v>
      </c>
      <c r="M130" s="10">
        <v>0.13438325475641166</v>
      </c>
    </row>
    <row r="131" spans="1:13" x14ac:dyDescent="0.2">
      <c r="A131" s="27">
        <v>2</v>
      </c>
      <c r="B131" s="6">
        <f t="shared" si="9"/>
        <v>2008</v>
      </c>
      <c r="C131" t="s">
        <v>0</v>
      </c>
      <c r="D131">
        <v>-0.76049723756906096</v>
      </c>
      <c r="E131">
        <v>-1.0117412432235</v>
      </c>
      <c r="F131">
        <v>4.7909542195256396</v>
      </c>
      <c r="G131">
        <v>2.71891081486259E-2</v>
      </c>
      <c r="H131">
        <v>29.946776534756498</v>
      </c>
      <c r="I131">
        <v>1.10321138079653</v>
      </c>
      <c r="J131">
        <v>-0.96316924887232902</v>
      </c>
      <c r="K131">
        <v>0</v>
      </c>
      <c r="L131">
        <v>13.855508605585801</v>
      </c>
      <c r="M131" s="10">
        <v>5.585686494134201E-2</v>
      </c>
    </row>
    <row r="132" spans="1:13" x14ac:dyDescent="0.2">
      <c r="A132" s="27">
        <v>2</v>
      </c>
      <c r="B132" s="6">
        <f t="shared" si="9"/>
        <v>2009</v>
      </c>
      <c r="C132" t="s">
        <v>0</v>
      </c>
      <c r="D132">
        <v>-6.1376192867906597E-2</v>
      </c>
      <c r="E132">
        <v>0.90189882306676195</v>
      </c>
      <c r="F132">
        <v>5.4290126861555299</v>
      </c>
      <c r="G132">
        <v>-1.04947526236891E-2</v>
      </c>
      <c r="H132">
        <v>37.782502235971997</v>
      </c>
      <c r="I132">
        <v>1.5029650993227199</v>
      </c>
      <c r="J132">
        <v>-0.81843498725240205</v>
      </c>
      <c r="K132">
        <v>0.14929424538545022</v>
      </c>
      <c r="L132">
        <v>-3.1016180562712599</v>
      </c>
      <c r="M132" s="10">
        <v>1.3372044331537269E-2</v>
      </c>
    </row>
    <row r="133" spans="1:13" x14ac:dyDescent="0.2">
      <c r="A133" s="27">
        <v>2</v>
      </c>
      <c r="B133" s="6">
        <f t="shared" si="9"/>
        <v>2010</v>
      </c>
      <c r="C133" t="s">
        <v>0</v>
      </c>
      <c r="D133">
        <v>0.202310396785533</v>
      </c>
      <c r="E133">
        <v>1.0081739276986501</v>
      </c>
      <c r="F133">
        <v>3.4636514065085402</v>
      </c>
      <c r="G133">
        <v>-0.12908410659535</v>
      </c>
      <c r="H133">
        <v>58.679530225943097</v>
      </c>
      <c r="I133">
        <v>0.76489840889206495</v>
      </c>
      <c r="J133">
        <v>-0.64545989409688398</v>
      </c>
      <c r="K133">
        <v>9.2111478507322708E-2</v>
      </c>
      <c r="L133">
        <v>-14.355869318767301</v>
      </c>
      <c r="M133" s="10">
        <v>2.6308539944905895E-2</v>
      </c>
    </row>
    <row r="134" spans="1:13" x14ac:dyDescent="0.2">
      <c r="A134" s="27">
        <v>2</v>
      </c>
      <c r="B134" s="6">
        <f t="shared" si="9"/>
        <v>2011</v>
      </c>
      <c r="C134" t="s">
        <v>0</v>
      </c>
      <c r="D134">
        <v>0.16943746860873801</v>
      </c>
      <c r="E134">
        <v>0.51553327153731399</v>
      </c>
      <c r="F134">
        <v>3.43717595146166</v>
      </c>
      <c r="G134">
        <v>-0.366938152545351</v>
      </c>
      <c r="H134">
        <v>71.3673885312962</v>
      </c>
      <c r="I134">
        <v>0.95894228588094399</v>
      </c>
      <c r="J134">
        <v>-0.41435575603059499</v>
      </c>
      <c r="K134">
        <v>0</v>
      </c>
      <c r="L134">
        <v>-8.5339585695145601</v>
      </c>
      <c r="M134" s="10">
        <v>2.5634143068042459E-2</v>
      </c>
    </row>
    <row r="135" spans="1:13" x14ac:dyDescent="0.2">
      <c r="A135" s="27">
        <v>2</v>
      </c>
      <c r="B135" s="6">
        <f t="shared" si="9"/>
        <v>2012</v>
      </c>
      <c r="C135" t="s">
        <v>0</v>
      </c>
      <c r="D135">
        <v>0.32800100452033998</v>
      </c>
      <c r="E135">
        <v>-1.51540687059359E-2</v>
      </c>
      <c r="F135">
        <v>3.43717595146166</v>
      </c>
      <c r="G135">
        <v>-0.36558747653200602</v>
      </c>
      <c r="H135">
        <v>78.456226265706704</v>
      </c>
      <c r="I135">
        <v>0.95894228588094399</v>
      </c>
      <c r="J135">
        <v>-0.24126299274367799</v>
      </c>
      <c r="K135">
        <v>0.25346020761245702</v>
      </c>
      <c r="L135">
        <v>-2.4944175340959802</v>
      </c>
      <c r="M135" s="10">
        <v>0</v>
      </c>
    </row>
    <row r="136" spans="1:13" ht="16" thickBot="1" x14ac:dyDescent="0.25">
      <c r="A136" s="27">
        <v>2</v>
      </c>
      <c r="B136" s="7">
        <f t="shared" si="9"/>
        <v>2013</v>
      </c>
      <c r="C136" s="8" t="s">
        <v>0</v>
      </c>
      <c r="D136" s="8">
        <v>0.52154696132596501</v>
      </c>
      <c r="E136" s="8">
        <v>-0.13440633690064899</v>
      </c>
      <c r="F136" s="8">
        <v>3.43717595146166</v>
      </c>
      <c r="G136" s="8">
        <v>-0.125302213757986</v>
      </c>
      <c r="H136" s="8">
        <v>78.456226265706704</v>
      </c>
      <c r="I136" s="8">
        <v>1.04371496159953</v>
      </c>
      <c r="J136" s="8">
        <v>-0.24008629142969401</v>
      </c>
      <c r="K136" s="8">
        <v>0</v>
      </c>
      <c r="L136" s="8">
        <v>-1.09364801264214</v>
      </c>
      <c r="M136" s="11">
        <v>2.4967286050775028E-2</v>
      </c>
    </row>
    <row r="137" spans="1:13" x14ac:dyDescent="0.2">
      <c r="A137" s="26">
        <v>3</v>
      </c>
      <c r="B137" s="5">
        <v>2005</v>
      </c>
      <c r="C137" s="5" t="s">
        <v>7</v>
      </c>
      <c r="D137" s="5">
        <v>1.44707765159819</v>
      </c>
      <c r="E137" s="5">
        <v>1.49071692653914</v>
      </c>
      <c r="F137" s="5">
        <v>6.6017236483890898</v>
      </c>
      <c r="G137" s="5">
        <v>2.4563435263500302</v>
      </c>
      <c r="H137" s="5">
        <v>8.7273569370111002</v>
      </c>
      <c r="I137" s="5">
        <v>3.2115562680523499</v>
      </c>
      <c r="J137" s="5">
        <v>-1.0583096039347599</v>
      </c>
      <c r="K137" s="5">
        <v>0.1</v>
      </c>
      <c r="L137" s="5">
        <v>3.4787111622554598</v>
      </c>
      <c r="M137" s="9">
        <v>0.05</v>
      </c>
    </row>
    <row r="138" spans="1:13" x14ac:dyDescent="0.2">
      <c r="A138" s="27">
        <v>3</v>
      </c>
      <c r="B138">
        <f>B137+1</f>
        <v>2006</v>
      </c>
      <c r="C138" t="s">
        <v>7</v>
      </c>
      <c r="D138">
        <v>1.57560178892445</v>
      </c>
      <c r="E138">
        <v>1.4816749718694699</v>
      </c>
      <c r="F138">
        <v>6.5055200173700998</v>
      </c>
      <c r="G138">
        <v>3.2472348731294698</v>
      </c>
      <c r="H138">
        <v>8.7273569370111002</v>
      </c>
      <c r="I138">
        <v>4.2899293798974503</v>
      </c>
      <c r="J138">
        <v>-0.55999223401501397</v>
      </c>
      <c r="K138">
        <v>0.29725763551316042</v>
      </c>
      <c r="L138">
        <v>5.6674338319907802</v>
      </c>
      <c r="M138" s="10">
        <v>-4.0022576838215529E-2</v>
      </c>
    </row>
    <row r="139" spans="1:13" x14ac:dyDescent="0.2">
      <c r="A139" s="27">
        <v>3</v>
      </c>
      <c r="B139">
        <f t="shared" ref="B139:B149" si="10">B138+1</f>
        <v>2007</v>
      </c>
      <c r="C139" t="s">
        <v>7</v>
      </c>
      <c r="D139">
        <v>1.3939031876178301</v>
      </c>
      <c r="E139">
        <v>2.0698842629802301</v>
      </c>
      <c r="F139">
        <v>7.3920632004409397</v>
      </c>
      <c r="G139">
        <v>4.3285621340273197</v>
      </c>
      <c r="H139">
        <v>8.7551461506792805</v>
      </c>
      <c r="I139">
        <v>4.8369242250445597</v>
      </c>
      <c r="J139">
        <v>4.6595909914559598E-3</v>
      </c>
      <c r="K139">
        <v>0.21620475113121884</v>
      </c>
      <c r="L139">
        <v>7.74338319907939</v>
      </c>
      <c r="M139" s="10">
        <v>0.32321342669303355</v>
      </c>
    </row>
    <row r="140" spans="1:13" x14ac:dyDescent="0.2">
      <c r="A140" s="27">
        <v>3</v>
      </c>
      <c r="B140">
        <f t="shared" si="10"/>
        <v>2008</v>
      </c>
      <c r="C140" t="s">
        <v>7</v>
      </c>
      <c r="D140">
        <v>0.38450914193010799</v>
      </c>
      <c r="E140">
        <v>2.5452097733483301</v>
      </c>
      <c r="F140">
        <v>9.99824628797621</v>
      </c>
      <c r="G140">
        <v>3.6044242029928402</v>
      </c>
      <c r="H140">
        <v>12.2396047756278</v>
      </c>
      <c r="I140">
        <v>0.36698959355435901</v>
      </c>
      <c r="J140">
        <v>-1.2166709811029099E-2</v>
      </c>
      <c r="K140">
        <v>-0.55069178002557728</v>
      </c>
      <c r="L140">
        <v>3.48101265822784</v>
      </c>
      <c r="M140" s="10">
        <v>6.7862336403293977E-2</v>
      </c>
    </row>
    <row r="141" spans="1:13" x14ac:dyDescent="0.2">
      <c r="A141" s="27">
        <v>3</v>
      </c>
      <c r="B141">
        <f t="shared" si="10"/>
        <v>2009</v>
      </c>
      <c r="C141" t="s">
        <v>7</v>
      </c>
      <c r="D141">
        <v>-0.43582014293857202</v>
      </c>
      <c r="E141">
        <v>1.516195145475</v>
      </c>
      <c r="F141">
        <v>14.4804001803818</v>
      </c>
      <c r="G141">
        <v>0.38230318802862501</v>
      </c>
      <c r="H141">
        <v>12.7938452037875</v>
      </c>
      <c r="I141">
        <v>-4.0996282425130204</v>
      </c>
      <c r="J141">
        <v>-3.3104452498058499</v>
      </c>
      <c r="K141">
        <v>0.23812912407814624</v>
      </c>
      <c r="L141">
        <v>10.857307249712299</v>
      </c>
      <c r="M141" s="10">
        <v>0.12551066727190419</v>
      </c>
    </row>
    <row r="142" spans="1:13" x14ac:dyDescent="0.2">
      <c r="A142" s="27">
        <v>3</v>
      </c>
      <c r="B142">
        <f t="shared" si="10"/>
        <v>2010</v>
      </c>
      <c r="C142" t="s">
        <v>7</v>
      </c>
      <c r="D142">
        <v>-0.45354496426535801</v>
      </c>
      <c r="E142">
        <v>1.2396720784439801</v>
      </c>
      <c r="F142">
        <v>10.962286840479001</v>
      </c>
      <c r="G142">
        <v>0.61535458685751099</v>
      </c>
      <c r="H142">
        <v>13.610539316591099</v>
      </c>
      <c r="I142">
        <v>3.3269531088047</v>
      </c>
      <c r="J142">
        <v>-2.2112347916127302</v>
      </c>
      <c r="K142">
        <v>2.278070954595468E-2</v>
      </c>
      <c r="L142">
        <v>2.1864211737629001E-2</v>
      </c>
      <c r="M142" s="10">
        <v>0.33071183706392149</v>
      </c>
    </row>
    <row r="143" spans="1:13" x14ac:dyDescent="0.2">
      <c r="A143" s="27">
        <v>3</v>
      </c>
      <c r="B143">
        <f t="shared" si="10"/>
        <v>2011</v>
      </c>
      <c r="C143" t="s">
        <v>7</v>
      </c>
      <c r="D143">
        <v>-0.56380716446704904</v>
      </c>
      <c r="E143">
        <v>3.1801559234849699</v>
      </c>
      <c r="F143">
        <v>3.92071551450571</v>
      </c>
      <c r="G143">
        <v>0.74222511385816503</v>
      </c>
      <c r="H143">
        <v>15.3720666941127</v>
      </c>
      <c r="I143">
        <v>4.2111554886054199</v>
      </c>
      <c r="J143">
        <v>-1.8252006212787899</v>
      </c>
      <c r="K143">
        <v>-0.2751979565772672</v>
      </c>
      <c r="L143">
        <v>-2.3394706559263501</v>
      </c>
      <c r="M143" s="10">
        <v>0.24844673435368825</v>
      </c>
    </row>
    <row r="144" spans="1:13" x14ac:dyDescent="0.2">
      <c r="A144" s="27">
        <v>3</v>
      </c>
      <c r="B144">
        <f t="shared" si="10"/>
        <v>2012</v>
      </c>
      <c r="C144" t="s">
        <v>7</v>
      </c>
      <c r="D144">
        <v>-1.02541982724602</v>
      </c>
      <c r="E144">
        <v>2.5354042758398898</v>
      </c>
      <c r="F144">
        <v>-5.4818532560586499</v>
      </c>
      <c r="G144">
        <v>0.231620039037082</v>
      </c>
      <c r="H144">
        <v>15.799711815561899</v>
      </c>
      <c r="I144">
        <v>0.63039843005016505</v>
      </c>
      <c r="J144">
        <v>-1.7743981361636001</v>
      </c>
      <c r="K144">
        <v>0.21489991542148168</v>
      </c>
      <c r="L144">
        <v>-3.6812428078250798</v>
      </c>
      <c r="M144" s="10">
        <v>0.10026096983674315</v>
      </c>
    </row>
    <row r="145" spans="1:13" x14ac:dyDescent="0.2">
      <c r="A145" s="27">
        <v>3</v>
      </c>
      <c r="B145">
        <f t="shared" si="10"/>
        <v>2013</v>
      </c>
      <c r="C145" t="s">
        <v>7</v>
      </c>
      <c r="D145">
        <v>-1.0640154338580201</v>
      </c>
      <c r="E145">
        <v>2.2364169747628999</v>
      </c>
      <c r="F145">
        <v>-8.1548444206904591</v>
      </c>
      <c r="G145">
        <v>0.14066363044892599</v>
      </c>
      <c r="H145">
        <v>12.9080897488678</v>
      </c>
      <c r="I145">
        <v>0.93195041390842803</v>
      </c>
      <c r="J145">
        <v>-1.8818275951333101</v>
      </c>
      <c r="K145">
        <v>9.8044903405465567E-2</v>
      </c>
      <c r="L145">
        <v>0.52589182968929205</v>
      </c>
      <c r="M145" s="10">
        <v>-0.29391214812362976</v>
      </c>
    </row>
    <row r="146" spans="1:13" x14ac:dyDescent="0.2">
      <c r="A146" s="27">
        <v>3</v>
      </c>
      <c r="B146">
        <f t="shared" si="10"/>
        <v>2014</v>
      </c>
      <c r="C146" t="s">
        <v>7</v>
      </c>
      <c r="D146">
        <v>-1.0910246854036001</v>
      </c>
      <c r="E146">
        <v>2.0157129078926199</v>
      </c>
      <c r="F146">
        <v>-9.4976867703305299</v>
      </c>
      <c r="G146">
        <v>-2.3292127521147E-2</v>
      </c>
      <c r="H146">
        <v>12.926615891313199</v>
      </c>
      <c r="I146">
        <v>0.91370803908290499</v>
      </c>
      <c r="J146">
        <v>-0.95961687807403695</v>
      </c>
      <c r="K146">
        <v>-0.19226501822792796</v>
      </c>
      <c r="L146">
        <v>-6.0126582278480996</v>
      </c>
      <c r="M146" s="10">
        <v>-5.6767876673124995E-3</v>
      </c>
    </row>
    <row r="147" spans="1:13" x14ac:dyDescent="0.2">
      <c r="A147" s="27">
        <v>3</v>
      </c>
      <c r="B147">
        <f t="shared" si="10"/>
        <v>2015</v>
      </c>
      <c r="C147" t="s">
        <v>7</v>
      </c>
      <c r="D147">
        <v>-1.1504910773008199</v>
      </c>
      <c r="E147">
        <v>1.7526523067030999</v>
      </c>
      <c r="F147">
        <v>-9.0306983114258301</v>
      </c>
      <c r="G147">
        <v>-0.16187378009108999</v>
      </c>
      <c r="H147">
        <v>17.467064635652498</v>
      </c>
      <c r="I147">
        <v>1.4309899252339</v>
      </c>
      <c r="J147">
        <v>-0.99877038571058696</v>
      </c>
      <c r="K147">
        <v>-5.57953950811102E-2</v>
      </c>
      <c r="L147">
        <v>-7.3590333716916003</v>
      </c>
      <c r="M147" s="10">
        <v>8.0007332914311835E-2</v>
      </c>
    </row>
    <row r="148" spans="1:13" x14ac:dyDescent="0.2">
      <c r="A148" s="27">
        <v>3</v>
      </c>
      <c r="B148">
        <f t="shared" si="10"/>
        <v>2016</v>
      </c>
      <c r="C148" t="s">
        <v>7</v>
      </c>
      <c r="D148">
        <v>-0.92352128732406702</v>
      </c>
      <c r="E148">
        <v>1.95595563414242</v>
      </c>
      <c r="F148">
        <v>-9.3426920314665907</v>
      </c>
      <c r="G148">
        <v>-0.32778139232270698</v>
      </c>
      <c r="H148">
        <v>24.3989296006587</v>
      </c>
      <c r="I148">
        <v>1.4970494340717699</v>
      </c>
      <c r="J148">
        <v>-0.456445767538182</v>
      </c>
      <c r="K148">
        <v>0.12019397298233447</v>
      </c>
      <c r="L148">
        <v>-6.8066743383199002</v>
      </c>
      <c r="M148" s="10">
        <v>9.3358228861030179E-2</v>
      </c>
    </row>
    <row r="149" spans="1:13" ht="16" thickBot="1" x14ac:dyDescent="0.25">
      <c r="A149" s="27">
        <v>3</v>
      </c>
      <c r="B149" s="8">
        <f t="shared" si="10"/>
        <v>2017</v>
      </c>
      <c r="C149" s="8" t="s">
        <v>7</v>
      </c>
      <c r="D149" s="8">
        <v>-0.24867365282588599</v>
      </c>
      <c r="E149" s="8">
        <v>2.2587204629480802</v>
      </c>
      <c r="F149" s="8">
        <v>-10.3975915688206</v>
      </c>
      <c r="G149" s="8">
        <v>-0.33363695510735297</v>
      </c>
      <c r="H149" s="8">
        <v>27.471181556195901</v>
      </c>
      <c r="I149" s="8">
        <v>3.14148896474522</v>
      </c>
      <c r="J149" s="8">
        <v>-0.80882733626714998</v>
      </c>
      <c r="K149" s="8">
        <v>0.37854050711193632</v>
      </c>
      <c r="L149" s="8">
        <v>-1.9666283084004601</v>
      </c>
      <c r="M149" s="11">
        <v>-5.3006276475454639E-3</v>
      </c>
    </row>
    <row r="150" spans="1:13" x14ac:dyDescent="0.2">
      <c r="A150" s="27">
        <v>3</v>
      </c>
      <c r="B150">
        <v>2005</v>
      </c>
      <c r="C150" t="s">
        <v>8</v>
      </c>
      <c r="D150">
        <v>-1.0627158348547101</v>
      </c>
      <c r="E150">
        <v>0.40975609756097597</v>
      </c>
      <c r="F150">
        <v>2.6992341130200801</v>
      </c>
      <c r="G150">
        <v>2.6936087816962502</v>
      </c>
      <c r="H150">
        <v>7.8197010811043404</v>
      </c>
      <c r="I150">
        <v>2.4761023743447401</v>
      </c>
      <c r="J150">
        <v>-0.97719283017230096</v>
      </c>
      <c r="K150">
        <v>0.2</v>
      </c>
      <c r="L150">
        <v>0.16052631578946799</v>
      </c>
      <c r="M150" s="10">
        <v>0.05</v>
      </c>
    </row>
    <row r="151" spans="1:13" x14ac:dyDescent="0.2">
      <c r="A151" s="27">
        <v>3</v>
      </c>
      <c r="B151">
        <v>2006</v>
      </c>
      <c r="C151" t="s">
        <v>8</v>
      </c>
      <c r="D151">
        <v>-0.33443129577898301</v>
      </c>
      <c r="E151">
        <v>0.75121951219512195</v>
      </c>
      <c r="F151">
        <v>-0.218898778720756</v>
      </c>
      <c r="G151">
        <v>4.2806355624528303</v>
      </c>
      <c r="H151">
        <v>8.5730283843735098</v>
      </c>
      <c r="I151">
        <v>4.7353273717751003</v>
      </c>
      <c r="J151">
        <v>-1.0624321861030299</v>
      </c>
      <c r="K151">
        <v>0.46435067297199262</v>
      </c>
      <c r="L151">
        <v>1.9131578947368399</v>
      </c>
      <c r="M151" s="10">
        <v>0.3454494382022486</v>
      </c>
    </row>
    <row r="152" spans="1:13" x14ac:dyDescent="0.2">
      <c r="A152" s="27">
        <v>3</v>
      </c>
      <c r="B152">
        <f>B151+1</f>
        <v>2007</v>
      </c>
      <c r="C152" t="s">
        <v>8</v>
      </c>
      <c r="D152">
        <v>1.0349075072037099E-2</v>
      </c>
      <c r="E152">
        <v>1.4926829268292601</v>
      </c>
      <c r="F152">
        <v>-5.3218795280480098</v>
      </c>
      <c r="G152">
        <v>3.8952404003587802</v>
      </c>
      <c r="H152">
        <v>9.21566093810568</v>
      </c>
      <c r="I152">
        <v>3.3524514338575302</v>
      </c>
      <c r="J152">
        <v>-6.7162883555400996E-2</v>
      </c>
      <c r="K152">
        <v>0.27556825239099769</v>
      </c>
      <c r="L152">
        <v>2.2802631578947299</v>
      </c>
      <c r="M152" s="10">
        <v>0.13006806129692294</v>
      </c>
    </row>
    <row r="153" spans="1:13" x14ac:dyDescent="0.2">
      <c r="A153" s="27">
        <v>3</v>
      </c>
      <c r="B153">
        <f t="shared" ref="B153:B162" si="11">B152+1</f>
        <v>2008</v>
      </c>
      <c r="C153" t="s">
        <v>8</v>
      </c>
      <c r="D153">
        <v>-0.71019840309702398</v>
      </c>
      <c r="E153">
        <v>1.82439024390243</v>
      </c>
      <c r="F153">
        <v>-2.0140757607120601</v>
      </c>
      <c r="G153">
        <v>0.99605620969004904</v>
      </c>
      <c r="H153">
        <v>9.87552224662962</v>
      </c>
      <c r="I153">
        <v>1.1296124987151701</v>
      </c>
      <c r="J153">
        <v>-1.6209148908467499</v>
      </c>
      <c r="K153">
        <v>-0.42498247254030919</v>
      </c>
      <c r="L153">
        <v>4.8223684210526301</v>
      </c>
      <c r="M153" s="10">
        <v>0.15958468814661031</v>
      </c>
    </row>
    <row r="154" spans="1:13" x14ac:dyDescent="0.2">
      <c r="A154" s="27">
        <v>3</v>
      </c>
      <c r="B154">
        <f t="shared" si="11"/>
        <v>2009</v>
      </c>
      <c r="C154" t="s">
        <v>8</v>
      </c>
      <c r="D154">
        <v>-1.9804621340430599</v>
      </c>
      <c r="E154">
        <v>1.41463414634146</v>
      </c>
      <c r="F154">
        <v>4.8830469882012002</v>
      </c>
      <c r="G154">
        <v>0.16566766803821401</v>
      </c>
      <c r="H154">
        <v>12.6454752982728</v>
      </c>
      <c r="I154">
        <v>-2.1005242059821101</v>
      </c>
      <c r="J154">
        <v>-2.9729395425545699</v>
      </c>
      <c r="K154">
        <v>0.15298381087854662</v>
      </c>
      <c r="L154">
        <v>0.46052631578946901</v>
      </c>
      <c r="M154" s="10">
        <v>7.8736895771593263E-2</v>
      </c>
    </row>
    <row r="155" spans="1:13" x14ac:dyDescent="0.2">
      <c r="A155" s="27">
        <v>3</v>
      </c>
      <c r="B155">
        <f t="shared" si="11"/>
        <v>2010</v>
      </c>
      <c r="C155" t="s">
        <v>8</v>
      </c>
      <c r="D155">
        <v>-1.03519345401755</v>
      </c>
      <c r="E155">
        <v>0.60487804878048801</v>
      </c>
      <c r="F155">
        <v>5.2634030221486201</v>
      </c>
      <c r="G155">
        <v>0.32253655480729598</v>
      </c>
      <c r="H155">
        <v>11.6767885601068</v>
      </c>
      <c r="I155">
        <v>5.0144927536231796</v>
      </c>
      <c r="J155">
        <v>-2.4597673712078398</v>
      </c>
      <c r="K155">
        <v>3.5690156566696052E-2</v>
      </c>
      <c r="L155">
        <v>-3.8815789473684101</v>
      </c>
      <c r="M155" s="10">
        <v>0.44177940568323604</v>
      </c>
    </row>
    <row r="156" spans="1:13" x14ac:dyDescent="0.2">
      <c r="A156" s="27">
        <v>3</v>
      </c>
      <c r="B156">
        <f t="shared" si="11"/>
        <v>2011</v>
      </c>
      <c r="C156" t="s">
        <v>8</v>
      </c>
      <c r="D156">
        <v>-0.34193739964366598</v>
      </c>
      <c r="E156">
        <v>1.52195121951219</v>
      </c>
      <c r="F156">
        <v>2.1936452080314601</v>
      </c>
      <c r="G156">
        <v>-0.18803479647479099</v>
      </c>
      <c r="H156">
        <v>14.9282853081793</v>
      </c>
      <c r="I156">
        <v>3.7748997841504801</v>
      </c>
      <c r="J156">
        <v>-1.7137928041317601</v>
      </c>
      <c r="K156">
        <v>-0.11319416869930221</v>
      </c>
      <c r="L156">
        <v>-6.5973684210526304</v>
      </c>
      <c r="M156" s="10">
        <v>6.3388649866830127E-2</v>
      </c>
    </row>
    <row r="157" spans="1:13" x14ac:dyDescent="0.2">
      <c r="A157" s="27">
        <v>3</v>
      </c>
      <c r="B157">
        <f t="shared" si="11"/>
        <v>2012</v>
      </c>
      <c r="C157" t="s">
        <v>8</v>
      </c>
      <c r="D157">
        <v>-0.22865297054747799</v>
      </c>
      <c r="E157">
        <v>1.58048780487804</v>
      </c>
      <c r="F157">
        <v>-3.3486855723452602</v>
      </c>
      <c r="G157">
        <v>-0.119566610191208</v>
      </c>
      <c r="H157">
        <v>18.717319205754301</v>
      </c>
      <c r="I157">
        <v>1.1133723918182701</v>
      </c>
      <c r="J157">
        <v>-1.2664163881775901</v>
      </c>
      <c r="K157">
        <v>0.20670355326702206</v>
      </c>
      <c r="L157">
        <v>-5.1131578947368403</v>
      </c>
      <c r="M157" s="10">
        <v>0.28275277435265167</v>
      </c>
    </row>
    <row r="158" spans="1:13" x14ac:dyDescent="0.2">
      <c r="A158" s="27">
        <v>3</v>
      </c>
      <c r="B158">
        <f t="shared" si="11"/>
        <v>2013</v>
      </c>
      <c r="C158" t="s">
        <v>8</v>
      </c>
      <c r="D158">
        <v>-4.9930712887403098E-2</v>
      </c>
      <c r="E158">
        <v>1.45365853658536</v>
      </c>
      <c r="F158">
        <v>-5.5273235354999004</v>
      </c>
      <c r="G158">
        <v>-8.38874097697761E-2</v>
      </c>
      <c r="H158">
        <v>12.1471335659215</v>
      </c>
      <c r="I158">
        <v>2.4115530887038701</v>
      </c>
      <c r="J158">
        <v>-1.7037237967102099</v>
      </c>
      <c r="K158">
        <v>0.22120328650940158</v>
      </c>
      <c r="L158">
        <v>-2.5552631578947298</v>
      </c>
      <c r="M158" s="10">
        <v>-0.17287473715830748</v>
      </c>
    </row>
    <row r="159" spans="1:13" x14ac:dyDescent="0.2">
      <c r="A159" s="27">
        <v>3</v>
      </c>
      <c r="B159">
        <f t="shared" si="11"/>
        <v>2014</v>
      </c>
      <c r="C159" t="s">
        <v>8</v>
      </c>
      <c r="D159">
        <v>1.15038602819872E-2</v>
      </c>
      <c r="E159">
        <v>1.3170731707317</v>
      </c>
      <c r="F159">
        <v>-7.4027116539018802</v>
      </c>
      <c r="G159">
        <v>-0.36304227116761401</v>
      </c>
      <c r="H159">
        <v>13.084377826592499</v>
      </c>
      <c r="I159">
        <v>2.0466646109569302</v>
      </c>
      <c r="J159">
        <v>-0.923549325116096</v>
      </c>
      <c r="K159">
        <v>-6.9537286222756789E-2</v>
      </c>
      <c r="L159">
        <v>-8.4092105263157801</v>
      </c>
      <c r="M159" s="10">
        <v>-0.15315053568185788</v>
      </c>
    </row>
    <row r="160" spans="1:13" x14ac:dyDescent="0.2">
      <c r="A160" s="27">
        <v>3</v>
      </c>
      <c r="B160">
        <f t="shared" si="11"/>
        <v>2015</v>
      </c>
      <c r="C160" t="s">
        <v>8</v>
      </c>
      <c r="D160">
        <v>6.57677671953038E-3</v>
      </c>
      <c r="E160">
        <v>1.30731707317073</v>
      </c>
      <c r="F160">
        <v>-8.9655350859035394</v>
      </c>
      <c r="G160">
        <v>-0.52499394905818497</v>
      </c>
      <c r="H160">
        <v>18.543739501227499</v>
      </c>
      <c r="I160">
        <v>1.80367972042347</v>
      </c>
      <c r="J160">
        <v>-0.92667418948830205</v>
      </c>
      <c r="K160">
        <v>-2.2788766560924878E-2</v>
      </c>
      <c r="L160">
        <v>-5.7763157894736796</v>
      </c>
      <c r="M160" s="10">
        <v>5.3692426451667385E-2</v>
      </c>
    </row>
    <row r="161" spans="1:13" x14ac:dyDescent="0.2">
      <c r="A161" s="27">
        <v>3</v>
      </c>
      <c r="B161">
        <f t="shared" si="11"/>
        <v>2016</v>
      </c>
      <c r="C161" t="s">
        <v>8</v>
      </c>
      <c r="D161">
        <v>0.20335217649517201</v>
      </c>
      <c r="E161">
        <v>1.00487804878048</v>
      </c>
      <c r="F161">
        <v>-6.4469054026081496</v>
      </c>
      <c r="G161">
        <v>-0.85477739652889095</v>
      </c>
      <c r="H161">
        <v>24.0246371193521</v>
      </c>
      <c r="I161">
        <v>1.8312262308562</v>
      </c>
      <c r="J161">
        <v>-0.59630658391562796</v>
      </c>
      <c r="K161">
        <v>-2.3630504833516142E-3</v>
      </c>
      <c r="L161">
        <v>-6.1631578947368402</v>
      </c>
      <c r="M161" s="10">
        <v>0.16164021164021247</v>
      </c>
    </row>
    <row r="162" spans="1:13" ht="16" thickBot="1" x14ac:dyDescent="0.25">
      <c r="A162" s="27">
        <v>3</v>
      </c>
      <c r="B162">
        <f t="shared" si="11"/>
        <v>2017</v>
      </c>
      <c r="C162" t="s">
        <v>8</v>
      </c>
      <c r="D162">
        <v>0.38499989002045498</v>
      </c>
      <c r="E162">
        <v>1.45365853658536</v>
      </c>
      <c r="F162">
        <v>-6.4903746636306998</v>
      </c>
      <c r="G162">
        <v>-0.81610831897717295</v>
      </c>
      <c r="H162">
        <v>27.915751389068301</v>
      </c>
      <c r="I162">
        <v>2.6035563778394502</v>
      </c>
      <c r="J162">
        <v>-1.13274163447767</v>
      </c>
      <c r="K162">
        <v>0.19918173987941201</v>
      </c>
      <c r="L162">
        <v>-3.1315789473684199</v>
      </c>
      <c r="M162" s="10">
        <v>-5.2467459664000127E-2</v>
      </c>
    </row>
    <row r="163" spans="1:13" x14ac:dyDescent="0.2">
      <c r="A163" s="27">
        <v>3</v>
      </c>
      <c r="B163" s="5">
        <v>2005</v>
      </c>
      <c r="C163" s="5" t="s">
        <v>9</v>
      </c>
      <c r="D163" s="5">
        <v>0.88843837576769302</v>
      </c>
      <c r="E163" s="5">
        <v>2.7153735991452801</v>
      </c>
      <c r="F163" s="5">
        <v>10.127857268344</v>
      </c>
      <c r="G163" s="5">
        <v>7.3131931206622403</v>
      </c>
      <c r="H163" s="5">
        <v>2.31394027712598</v>
      </c>
      <c r="I163" s="5">
        <v>2.31394027712598</v>
      </c>
      <c r="J163" s="5">
        <v>-4.8517184035476904</v>
      </c>
      <c r="K163" s="5">
        <v>0.2</v>
      </c>
      <c r="L163" s="5">
        <v>-0.134341577910145</v>
      </c>
      <c r="M163" s="9">
        <v>0.05</v>
      </c>
    </row>
    <row r="164" spans="1:13" x14ac:dyDescent="0.2">
      <c r="A164" s="27">
        <v>3</v>
      </c>
      <c r="B164">
        <f>B163+1</f>
        <v>2006</v>
      </c>
      <c r="C164" t="s">
        <v>9</v>
      </c>
      <c r="D164">
        <v>1.2370162780990901</v>
      </c>
      <c r="E164">
        <v>3.0839376236048199</v>
      </c>
      <c r="F164">
        <v>13.884420933455599</v>
      </c>
      <c r="G164">
        <v>10.0365978241408</v>
      </c>
      <c r="H164">
        <v>4.9553189912811497</v>
      </c>
      <c r="I164">
        <v>4.9553189912811497</v>
      </c>
      <c r="J164">
        <v>-3.6419068736142002</v>
      </c>
      <c r="K164">
        <v>0.43883987270613933</v>
      </c>
      <c r="L164">
        <v>1.11000642146985</v>
      </c>
      <c r="M164" s="10">
        <v>0.3454494382022486</v>
      </c>
    </row>
    <row r="165" spans="1:13" x14ac:dyDescent="0.2">
      <c r="A165" s="27">
        <v>3</v>
      </c>
      <c r="B165">
        <f t="shared" ref="B165:B176" si="12">B164+1</f>
        <v>2007</v>
      </c>
      <c r="C165" t="s">
        <v>9</v>
      </c>
      <c r="D165">
        <v>1.4442788146204699</v>
      </c>
      <c r="E165">
        <v>3.3170648541747099</v>
      </c>
      <c r="F165">
        <v>14.1109527806515</v>
      </c>
      <c r="G165">
        <v>9.6523996587713707</v>
      </c>
      <c r="H165">
        <v>1.50254402647763</v>
      </c>
      <c r="I165">
        <v>1.50254402647763</v>
      </c>
      <c r="J165">
        <v>-4.1075388026607698</v>
      </c>
      <c r="K165">
        <v>0.27000503271262821</v>
      </c>
      <c r="L165">
        <v>2.3313699873784901</v>
      </c>
      <c r="M165" s="10">
        <v>0.13006806129692294</v>
      </c>
    </row>
    <row r="166" spans="1:13" x14ac:dyDescent="0.2">
      <c r="A166" s="27">
        <v>3</v>
      </c>
      <c r="B166">
        <f t="shared" si="12"/>
        <v>2008</v>
      </c>
      <c r="C166" t="s">
        <v>9</v>
      </c>
      <c r="D166">
        <v>1.05336592928268</v>
      </c>
      <c r="E166">
        <v>3.4653906480871002</v>
      </c>
      <c r="F166">
        <v>20.527923637002399</v>
      </c>
      <c r="G166">
        <v>7.3872313087803096</v>
      </c>
      <c r="H166">
        <v>-1.5670585620075601</v>
      </c>
      <c r="I166">
        <v>-1.5670585620075601</v>
      </c>
      <c r="J166">
        <v>-5.9700665188470001</v>
      </c>
      <c r="K166">
        <v>-0.71776876310053839</v>
      </c>
      <c r="L166">
        <v>1.49967892650738</v>
      </c>
      <c r="M166" s="10">
        <v>0.15958468814661031</v>
      </c>
    </row>
    <row r="167" spans="1:13" x14ac:dyDescent="0.2">
      <c r="A167" s="27">
        <v>3</v>
      </c>
      <c r="B167">
        <f t="shared" si="12"/>
        <v>2009</v>
      </c>
      <c r="C167" t="s">
        <v>9</v>
      </c>
      <c r="D167">
        <v>0.14984198914793301</v>
      </c>
      <c r="E167">
        <v>1.88331704212225</v>
      </c>
      <c r="F167">
        <v>23.424525171289599</v>
      </c>
      <c r="G167">
        <v>7.5823319396320104</v>
      </c>
      <c r="H167">
        <v>-1.9040062242201099</v>
      </c>
      <c r="I167">
        <v>-1.9040062242201099</v>
      </c>
      <c r="J167">
        <v>-7.4792128603104402</v>
      </c>
      <c r="K167">
        <v>0.33431865208394917</v>
      </c>
      <c r="L167">
        <v>1.6783729323974199</v>
      </c>
      <c r="M167" s="10">
        <v>7.8736895771593263E-2</v>
      </c>
    </row>
    <row r="168" spans="1:13" x14ac:dyDescent="0.2">
      <c r="A168" s="27">
        <v>3</v>
      </c>
      <c r="B168">
        <f t="shared" si="12"/>
        <v>2010</v>
      </c>
      <c r="C168" t="s">
        <v>9</v>
      </c>
      <c r="D168">
        <v>-0.95068868880806001</v>
      </c>
      <c r="E168">
        <v>2.0316428360346399</v>
      </c>
      <c r="F168">
        <v>31.312342618438699</v>
      </c>
      <c r="G168">
        <v>10.7809817695442</v>
      </c>
      <c r="H168">
        <v>-8.6082322720873297</v>
      </c>
      <c r="I168">
        <v>-8.6082322720873297</v>
      </c>
      <c r="J168">
        <v>-6.8847006651884897</v>
      </c>
      <c r="K168">
        <v>-0.2414986708019502</v>
      </c>
      <c r="L168">
        <v>3.0096100617789601</v>
      </c>
      <c r="M168" s="10">
        <v>0.44177940568323604</v>
      </c>
    </row>
    <row r="169" spans="1:13" x14ac:dyDescent="0.2">
      <c r="A169" s="27">
        <v>3</v>
      </c>
      <c r="B169">
        <f t="shared" si="12"/>
        <v>2011</v>
      </c>
      <c r="C169" t="s">
        <v>9</v>
      </c>
      <c r="D169">
        <v>-1.6368731739311899</v>
      </c>
      <c r="E169">
        <v>0.65906662726466703</v>
      </c>
      <c r="F169">
        <v>27.113451365437498</v>
      </c>
      <c r="G169">
        <v>47.768059314804397</v>
      </c>
      <c r="H169">
        <v>-9.5177093881986696</v>
      </c>
      <c r="I169">
        <v>-9.5177093881986696</v>
      </c>
      <c r="J169">
        <v>23.7929600886917</v>
      </c>
      <c r="K169">
        <v>-0.6221021503413533</v>
      </c>
      <c r="L169">
        <v>4.4935010296494697</v>
      </c>
      <c r="M169" s="10">
        <v>6.3388649866830127E-2</v>
      </c>
    </row>
    <row r="170" spans="1:13" x14ac:dyDescent="0.2">
      <c r="A170" s="27">
        <v>3</v>
      </c>
      <c r="B170">
        <f t="shared" si="12"/>
        <v>2012</v>
      </c>
      <c r="C170" t="s">
        <v>9</v>
      </c>
      <c r="D170">
        <v>-2.3464909665493998</v>
      </c>
      <c r="E170">
        <v>-1.4917596781159701</v>
      </c>
      <c r="F170">
        <v>20.312127896308699</v>
      </c>
      <c r="G170">
        <v>7.1781234531495297</v>
      </c>
      <c r="H170">
        <v>-6.4300392718650397</v>
      </c>
      <c r="I170">
        <v>-6.4300392718650397</v>
      </c>
      <c r="J170">
        <v>-9.1879157427937894</v>
      </c>
      <c r="K170">
        <v>0.50932277074678334</v>
      </c>
      <c r="L170">
        <v>0.49407674763623499</v>
      </c>
      <c r="M170" s="10">
        <v>0.28275277435265167</v>
      </c>
    </row>
    <row r="171" spans="1:13" x14ac:dyDescent="0.2">
      <c r="A171" s="27">
        <v>3</v>
      </c>
      <c r="B171">
        <f t="shared" si="12"/>
        <v>2013</v>
      </c>
      <c r="C171" t="s">
        <v>9</v>
      </c>
      <c r="D171">
        <v>-2.09331584282392</v>
      </c>
      <c r="E171">
        <v>-2.12240003637107</v>
      </c>
      <c r="F171">
        <v>7.5887680805793698</v>
      </c>
      <c r="G171">
        <v>8.40475613737609</v>
      </c>
      <c r="H171">
        <v>-1.7641588658087799</v>
      </c>
      <c r="I171">
        <v>-1.7641588658087799</v>
      </c>
      <c r="J171">
        <v>-7.3711197339246404</v>
      </c>
      <c r="K171">
        <v>0.40984446009090014</v>
      </c>
      <c r="L171">
        <v>4.1843404707601604</v>
      </c>
      <c r="M171" s="10">
        <v>-0.17287473715830748</v>
      </c>
    </row>
    <row r="172" spans="1:13" x14ac:dyDescent="0.2">
      <c r="A172" s="27">
        <v>3</v>
      </c>
      <c r="B172">
        <f t="shared" si="12"/>
        <v>2014</v>
      </c>
      <c r="C172" t="s">
        <v>9</v>
      </c>
      <c r="D172">
        <v>-1.69214715878599</v>
      </c>
      <c r="E172">
        <v>-1.3682912413902799</v>
      </c>
      <c r="F172">
        <v>0.77456128364792598</v>
      </c>
      <c r="G172">
        <v>7.6073448410232896</v>
      </c>
      <c r="H172">
        <v>-0.21786005384444701</v>
      </c>
      <c r="I172">
        <v>-0.21786005384444701</v>
      </c>
      <c r="J172">
        <v>-9.4623059866962294</v>
      </c>
      <c r="K172">
        <v>-0.34418414600926239</v>
      </c>
      <c r="L172">
        <v>-2.72772967826221</v>
      </c>
      <c r="M172" s="10">
        <v>-0.15315053568185788</v>
      </c>
    </row>
    <row r="173" spans="1:13" x14ac:dyDescent="0.2">
      <c r="A173" s="27">
        <v>3</v>
      </c>
      <c r="B173">
        <f t="shared" si="12"/>
        <v>2015</v>
      </c>
      <c r="C173" t="s">
        <v>9</v>
      </c>
      <c r="D173">
        <v>-1.6608431220559201</v>
      </c>
      <c r="E173">
        <v>0.26462230910868101</v>
      </c>
      <c r="F173">
        <v>-0.194909133498612</v>
      </c>
      <c r="G173">
        <v>7.9195058503859999</v>
      </c>
      <c r="H173">
        <v>-0.31664484896386402</v>
      </c>
      <c r="I173">
        <v>-0.31664484896386402</v>
      </c>
      <c r="J173">
        <v>-6.05321507760533</v>
      </c>
      <c r="K173">
        <v>-0.31533402561439861</v>
      </c>
      <c r="L173">
        <v>-1.6590199508425301</v>
      </c>
      <c r="M173" s="10">
        <v>5.3692426451667385E-2</v>
      </c>
    </row>
    <row r="174" spans="1:13" x14ac:dyDescent="0.2">
      <c r="A174" s="27">
        <v>3</v>
      </c>
      <c r="B174">
        <f t="shared" si="12"/>
        <v>2016</v>
      </c>
      <c r="C174" t="s">
        <v>9</v>
      </c>
      <c r="D174">
        <v>-1.0588515890525301</v>
      </c>
      <c r="E174">
        <v>-0.54206542247277401</v>
      </c>
      <c r="F174">
        <v>-3.20423978605867</v>
      </c>
      <c r="G174">
        <v>6.5688091752588198</v>
      </c>
      <c r="H174">
        <v>0.93400350729863701</v>
      </c>
      <c r="I174">
        <v>0.93400350729863701</v>
      </c>
      <c r="J174">
        <v>-8.5227272727272805</v>
      </c>
      <c r="K174">
        <v>0.22467138523760699</v>
      </c>
      <c r="L174">
        <v>-0.65301919798055796</v>
      </c>
      <c r="M174" s="10">
        <v>0.16164021164021247</v>
      </c>
    </row>
    <row r="175" spans="1:13" x14ac:dyDescent="0.2">
      <c r="A175" s="27">
        <v>3</v>
      </c>
      <c r="B175">
        <f t="shared" si="12"/>
        <v>2017</v>
      </c>
      <c r="C175" t="s">
        <v>9</v>
      </c>
      <c r="D175">
        <v>-0.78391270645757505</v>
      </c>
      <c r="E175">
        <v>-0.13360687413334499</v>
      </c>
      <c r="F175">
        <v>-3.20423978605867</v>
      </c>
      <c r="G175">
        <v>6.5067771798085197</v>
      </c>
      <c r="H175">
        <v>1.2777558228567101</v>
      </c>
      <c r="I175">
        <v>1.2777558228567101</v>
      </c>
      <c r="J175">
        <v>-5.7206208425720604</v>
      </c>
      <c r="K175">
        <v>0</v>
      </c>
      <c r="L175">
        <v>2.11002856446934</v>
      </c>
      <c r="M175" s="10">
        <v>-5.2467459664000127E-2</v>
      </c>
    </row>
    <row r="176" spans="1:13" ht="16" thickBot="1" x14ac:dyDescent="0.25">
      <c r="A176" s="27">
        <v>3</v>
      </c>
      <c r="B176" s="8">
        <f t="shared" si="12"/>
        <v>2018</v>
      </c>
      <c r="C176" s="8" t="s">
        <v>9</v>
      </c>
      <c r="D176" s="8">
        <v>-0.78391270645757505</v>
      </c>
      <c r="E176" s="8">
        <v>-0.13360687413334499</v>
      </c>
      <c r="F176" s="8">
        <v>-3.20423978605867</v>
      </c>
      <c r="G176" s="8">
        <v>6.5067771798085197</v>
      </c>
      <c r="H176" s="8">
        <v>1.2777558228567101</v>
      </c>
      <c r="I176" s="8">
        <v>1.2777558228567101</v>
      </c>
      <c r="J176" s="8">
        <v>-5.7206208425720604</v>
      </c>
      <c r="K176" s="8">
        <v>0</v>
      </c>
      <c r="L176" s="8">
        <v>2.11002856446934</v>
      </c>
      <c r="M176" s="11">
        <v>0</v>
      </c>
    </row>
    <row r="177" spans="1:13" x14ac:dyDescent="0.2">
      <c r="A177" s="27">
        <v>3</v>
      </c>
      <c r="B177">
        <v>2004</v>
      </c>
      <c r="C177" t="s">
        <v>16</v>
      </c>
      <c r="D177">
        <v>0.80318389379697597</v>
      </c>
      <c r="E177">
        <v>1.04772727272727</v>
      </c>
      <c r="F177">
        <v>15.9512777817997</v>
      </c>
      <c r="G177">
        <v>4.5578370342841197</v>
      </c>
      <c r="H177">
        <v>3.4057891623025398</v>
      </c>
      <c r="I177">
        <v>1.8564393533882799</v>
      </c>
      <c r="J177">
        <v>0.24756843953124599</v>
      </c>
      <c r="K177">
        <v>0.1</v>
      </c>
      <c r="L177">
        <v>7.2989475952731402</v>
      </c>
      <c r="M177" s="10">
        <v>0.05</v>
      </c>
    </row>
    <row r="178" spans="1:13" x14ac:dyDescent="0.2">
      <c r="A178" s="27">
        <v>3</v>
      </c>
      <c r="B178">
        <f>B177+1</f>
        <v>2005</v>
      </c>
      <c r="C178" t="s">
        <v>16</v>
      </c>
      <c r="D178">
        <v>0.93381926028214002</v>
      </c>
      <c r="E178">
        <v>1.39171554252199</v>
      </c>
      <c r="F178">
        <v>21.5270035473829</v>
      </c>
      <c r="G178">
        <v>4.67425439003995</v>
      </c>
      <c r="H178">
        <v>3.2302736814426898</v>
      </c>
      <c r="I178">
        <v>4.3409699175677101</v>
      </c>
      <c r="J178">
        <v>0.46306400341604798</v>
      </c>
      <c r="K178">
        <v>0.16736901250175507</v>
      </c>
      <c r="L178">
        <v>1.88103875579182</v>
      </c>
      <c r="M178" s="10">
        <v>0.11689778502854997</v>
      </c>
    </row>
    <row r="179" spans="1:13" x14ac:dyDescent="0.2">
      <c r="A179" s="27">
        <v>3</v>
      </c>
      <c r="B179">
        <f t="shared" ref="B179:B190" si="13">B178+1</f>
        <v>2006</v>
      </c>
      <c r="C179" t="s">
        <v>16</v>
      </c>
      <c r="D179">
        <v>0.99009838843818199</v>
      </c>
      <c r="E179">
        <v>1.21392961876832</v>
      </c>
      <c r="F179">
        <v>26.426735683776101</v>
      </c>
      <c r="G179">
        <v>5.6238037721824696</v>
      </c>
      <c r="H179">
        <v>4.5535420820825196</v>
      </c>
      <c r="I179">
        <v>4.3409699175677101</v>
      </c>
      <c r="J179">
        <v>0.258955259287379</v>
      </c>
      <c r="K179">
        <v>0.11933698333433695</v>
      </c>
      <c r="L179">
        <v>0.69950791997412398</v>
      </c>
      <c r="M179" s="10">
        <v>0.3454494382022486</v>
      </c>
    </row>
    <row r="180" spans="1:13" x14ac:dyDescent="0.2">
      <c r="A180" s="27">
        <v>3</v>
      </c>
      <c r="B180">
        <f t="shared" si="13"/>
        <v>2007</v>
      </c>
      <c r="C180" t="s">
        <v>16</v>
      </c>
      <c r="D180">
        <v>0.91764872032262401</v>
      </c>
      <c r="E180">
        <v>1.46671554252199</v>
      </c>
      <c r="F180">
        <v>29.852313038441999</v>
      </c>
      <c r="G180">
        <v>6.0836198086035402</v>
      </c>
      <c r="H180">
        <v>4.5351359642395401</v>
      </c>
      <c r="I180">
        <v>1.75880526710202</v>
      </c>
      <c r="J180">
        <v>1.03980642406414</v>
      </c>
      <c r="K180">
        <v>0.1774033164019404</v>
      </c>
      <c r="L180">
        <v>3.2282425200244198</v>
      </c>
      <c r="M180" s="10">
        <v>0.13006806129692294</v>
      </c>
    </row>
    <row r="181" spans="1:13" x14ac:dyDescent="0.2">
      <c r="A181" s="27">
        <v>3</v>
      </c>
      <c r="B181">
        <f t="shared" si="13"/>
        <v>2008</v>
      </c>
      <c r="C181" t="s">
        <v>16</v>
      </c>
      <c r="D181">
        <v>-1.3010340985767399</v>
      </c>
      <c r="E181">
        <v>2.0365102639296202</v>
      </c>
      <c r="F181">
        <v>31.515420256280301</v>
      </c>
      <c r="G181">
        <v>4.3776828021926901</v>
      </c>
      <c r="H181">
        <v>6.5979358853561703</v>
      </c>
      <c r="I181">
        <v>-0.96724119473289605</v>
      </c>
      <c r="J181">
        <v>-0.28021065616548402</v>
      </c>
      <c r="K181">
        <v>-0.26295366354713234</v>
      </c>
      <c r="L181">
        <v>-17.8712151143996</v>
      </c>
      <c r="M181" s="10">
        <v>0.15958468814661031</v>
      </c>
    </row>
    <row r="182" spans="1:13" x14ac:dyDescent="0.2">
      <c r="A182" s="27">
        <v>3</v>
      </c>
      <c r="B182">
        <f t="shared" si="13"/>
        <v>2009</v>
      </c>
      <c r="C182" t="s">
        <v>16</v>
      </c>
      <c r="D182">
        <v>-2.3838247524597098</v>
      </c>
      <c r="E182">
        <v>2.3335777126099702</v>
      </c>
      <c r="F182">
        <v>27.946499674219901</v>
      </c>
      <c r="G182">
        <v>0.29201895382328003</v>
      </c>
      <c r="H182">
        <v>12.551000284856499</v>
      </c>
      <c r="I182">
        <v>-3.11005245691039</v>
      </c>
      <c r="J182">
        <v>-3.2564406699245598</v>
      </c>
      <c r="K182">
        <v>-0.17838340043357048</v>
      </c>
      <c r="L182">
        <v>-13.346323767106</v>
      </c>
      <c r="M182" s="10">
        <v>7.8736895771593263E-2</v>
      </c>
    </row>
    <row r="183" spans="1:13" x14ac:dyDescent="0.2">
      <c r="A183" s="27">
        <v>3</v>
      </c>
      <c r="B183">
        <f t="shared" si="13"/>
        <v>2010</v>
      </c>
      <c r="C183" t="s">
        <v>16</v>
      </c>
      <c r="D183">
        <v>-1.89927346336717</v>
      </c>
      <c r="E183">
        <v>3.0186950146627498</v>
      </c>
      <c r="F183">
        <v>19.3784840367769</v>
      </c>
      <c r="G183">
        <v>0.41233856731394503</v>
      </c>
      <c r="H183">
        <v>12.6765563029997</v>
      </c>
      <c r="I183">
        <v>1.1151910930307201</v>
      </c>
      <c r="J183">
        <v>-2.5049105660198201</v>
      </c>
      <c r="K183">
        <v>0.18963437617791046</v>
      </c>
      <c r="L183">
        <v>-11.444721813153199</v>
      </c>
      <c r="M183" s="10">
        <v>0.44177940568323604</v>
      </c>
    </row>
    <row r="184" spans="1:13" x14ac:dyDescent="0.2">
      <c r="A184" s="27">
        <v>3</v>
      </c>
      <c r="B184">
        <f t="shared" si="13"/>
        <v>2011</v>
      </c>
      <c r="C184" t="s">
        <v>16</v>
      </c>
      <c r="D184">
        <v>-1.86657931489007</v>
      </c>
      <c r="E184">
        <v>2.6379032258064501</v>
      </c>
      <c r="F184">
        <v>1.4166003040613999</v>
      </c>
      <c r="G184">
        <v>0.43510173743379699</v>
      </c>
      <c r="H184">
        <v>11.467011416175399</v>
      </c>
      <c r="I184">
        <v>1.2115405202869001</v>
      </c>
      <c r="J184">
        <v>-1.9421169995729901</v>
      </c>
      <c r="K184">
        <v>-3.2191628909096548E-2</v>
      </c>
      <c r="L184">
        <v>-7.8855824144247704</v>
      </c>
      <c r="M184" s="10">
        <v>6.3388649866830127E-2</v>
      </c>
    </row>
    <row r="185" spans="1:13" x14ac:dyDescent="0.2">
      <c r="A185" s="27">
        <v>3</v>
      </c>
      <c r="B185">
        <f t="shared" si="13"/>
        <v>2012</v>
      </c>
      <c r="C185" t="s">
        <v>16</v>
      </c>
      <c r="D185">
        <v>-1.6103927691559301</v>
      </c>
      <c r="E185">
        <v>2.3024926686217002</v>
      </c>
      <c r="F185">
        <v>-4.4523275175559398</v>
      </c>
      <c r="G185">
        <v>0.32193626312366003</v>
      </c>
      <c r="H185">
        <v>19.798409185529302</v>
      </c>
      <c r="I185">
        <v>1.5699603896798999</v>
      </c>
      <c r="J185">
        <v>-1.28367414717464</v>
      </c>
      <c r="K185">
        <v>0.13926992961204765</v>
      </c>
      <c r="L185">
        <v>-3.5683883481196799</v>
      </c>
      <c r="M185" s="10">
        <v>0.28275277435265167</v>
      </c>
    </row>
    <row r="186" spans="1:13" x14ac:dyDescent="0.2">
      <c r="A186" s="27">
        <v>3</v>
      </c>
      <c r="B186">
        <f t="shared" si="13"/>
        <v>2013</v>
      </c>
      <c r="C186" t="s">
        <v>16</v>
      </c>
      <c r="D186">
        <v>-0.97225665730381206</v>
      </c>
      <c r="E186">
        <v>1.90153958944281</v>
      </c>
      <c r="F186">
        <v>-17.071418229204301</v>
      </c>
      <c r="G186">
        <v>0.31218061878657999</v>
      </c>
      <c r="H186">
        <v>21.111159804544499</v>
      </c>
      <c r="I186">
        <v>1.64190129536452</v>
      </c>
      <c r="J186">
        <v>-2.1641599848175699</v>
      </c>
      <c r="K186">
        <v>4.5978332710711278E-2</v>
      </c>
      <c r="L186">
        <v>0.178244315936922</v>
      </c>
      <c r="M186" s="10">
        <v>-0.17287473715830748</v>
      </c>
    </row>
    <row r="187" spans="1:13" x14ac:dyDescent="0.2">
      <c r="A187" s="27">
        <v>3</v>
      </c>
      <c r="B187">
        <f t="shared" si="13"/>
        <v>2014</v>
      </c>
      <c r="C187" t="s">
        <v>16</v>
      </c>
      <c r="D187">
        <v>-0.51213771242958095</v>
      </c>
      <c r="E187">
        <v>1.3186217008797601</v>
      </c>
      <c r="F187">
        <v>-15.862774198219</v>
      </c>
      <c r="G187">
        <v>0.368112979652512</v>
      </c>
      <c r="H187">
        <v>21.111159804544499</v>
      </c>
      <c r="I187">
        <v>2.5296006851514798</v>
      </c>
      <c r="J187">
        <v>-1.8254020970726299</v>
      </c>
      <c r="K187">
        <v>4.4506717217505098E-2</v>
      </c>
      <c r="L187">
        <v>9.2239862073919792</v>
      </c>
      <c r="M187" s="10">
        <v>-0.15315053568185788</v>
      </c>
    </row>
    <row r="188" spans="1:13" x14ac:dyDescent="0.2">
      <c r="A188" s="27">
        <v>3</v>
      </c>
      <c r="B188">
        <f t="shared" si="13"/>
        <v>2015</v>
      </c>
      <c r="C188" t="s">
        <v>16</v>
      </c>
      <c r="D188">
        <v>-0.508112730867607</v>
      </c>
      <c r="E188">
        <v>1.27917888563049</v>
      </c>
      <c r="F188">
        <v>-11.705820603778999</v>
      </c>
      <c r="G188">
        <v>0.39022577348322601</v>
      </c>
      <c r="H188">
        <v>20.641146438197001</v>
      </c>
      <c r="I188">
        <v>1.9437961674338899</v>
      </c>
      <c r="J188">
        <v>-1.26431655358921</v>
      </c>
      <c r="K188">
        <v>-5.4656882085272196E-2</v>
      </c>
      <c r="L188">
        <v>5.6187816529578596</v>
      </c>
      <c r="M188" s="10">
        <v>5.3692426451667385E-2</v>
      </c>
    </row>
    <row r="189" spans="1:13" x14ac:dyDescent="0.2">
      <c r="A189" s="27">
        <v>3</v>
      </c>
      <c r="B189">
        <f t="shared" si="13"/>
        <v>2016</v>
      </c>
      <c r="C189" t="s">
        <v>16</v>
      </c>
      <c r="D189">
        <v>-9.7070315564831505E-2</v>
      </c>
      <c r="E189">
        <v>1.4403225806451601</v>
      </c>
      <c r="F189">
        <v>-1.9568522406428599</v>
      </c>
      <c r="G189">
        <v>0.213973799126634</v>
      </c>
      <c r="H189">
        <v>20.620110874947901</v>
      </c>
      <c r="I189">
        <v>1.46333369018306</v>
      </c>
      <c r="J189">
        <v>-0.92726668880770102</v>
      </c>
      <c r="K189">
        <v>-0.11563395564953705</v>
      </c>
      <c r="L189">
        <v>-4.1122804496964802</v>
      </c>
      <c r="M189" s="10">
        <v>0.16164021164021247</v>
      </c>
    </row>
    <row r="190" spans="1:13" ht="16" thickBot="1" x14ac:dyDescent="0.25">
      <c r="A190" s="27">
        <v>3</v>
      </c>
      <c r="B190">
        <f t="shared" si="13"/>
        <v>2017</v>
      </c>
      <c r="C190" t="s">
        <v>16</v>
      </c>
      <c r="D190">
        <v>5.7785554003796501E-2</v>
      </c>
      <c r="E190">
        <v>2.3247067448680299</v>
      </c>
      <c r="F190">
        <v>1.85640338811265</v>
      </c>
      <c r="G190">
        <v>0.40323329926600199</v>
      </c>
      <c r="H190">
        <v>25.086223897276302</v>
      </c>
      <c r="I190">
        <v>1.36184562680655</v>
      </c>
      <c r="J190">
        <v>-0.67818000664230904</v>
      </c>
      <c r="K190">
        <v>0.13295579675947833</v>
      </c>
      <c r="L190">
        <v>4.1665170072931801E-2</v>
      </c>
      <c r="M190" s="10">
        <v>-5.2467459664000127E-2</v>
      </c>
    </row>
    <row r="191" spans="1:13" x14ac:dyDescent="0.2">
      <c r="A191" s="26">
        <v>4</v>
      </c>
      <c r="B191" s="5">
        <v>2005</v>
      </c>
      <c r="C191" s="5" t="s">
        <v>29</v>
      </c>
      <c r="D191" s="5">
        <v>0.83543606615163302</v>
      </c>
      <c r="E191" s="5">
        <v>1.94261805140466</v>
      </c>
      <c r="F191" s="5">
        <v>7.1227470844622403</v>
      </c>
      <c r="G191" s="5">
        <v>4.2043935868149704</v>
      </c>
      <c r="H191" s="5">
        <v>6.5250910075513602</v>
      </c>
      <c r="I191" s="5">
        <v>3.3840562875443898</v>
      </c>
      <c r="J191" s="5">
        <v>-0.81268668050422799</v>
      </c>
      <c r="K191" s="5">
        <v>0.1</v>
      </c>
      <c r="L191" s="5">
        <v>4.1472851736893501</v>
      </c>
      <c r="M191" s="9">
        <v>0.11</v>
      </c>
    </row>
    <row r="192" spans="1:13" x14ac:dyDescent="0.2">
      <c r="A192" s="27">
        <v>3</v>
      </c>
      <c r="B192">
        <f>B191+1</f>
        <v>2006</v>
      </c>
      <c r="C192" t="s">
        <v>29</v>
      </c>
      <c r="D192">
        <v>1.10271568310665</v>
      </c>
      <c r="E192">
        <v>2.6993424985056702</v>
      </c>
      <c r="F192">
        <v>8.8323124042879009</v>
      </c>
      <c r="G192">
        <v>5.2689737623022497</v>
      </c>
      <c r="H192">
        <v>6.4337073919191203</v>
      </c>
      <c r="I192">
        <v>2.6296837144469101</v>
      </c>
      <c r="J192">
        <v>0.28729813192932502</v>
      </c>
      <c r="K192">
        <v>0.13816444355962654</v>
      </c>
      <c r="L192">
        <v>-0.102895531272594</v>
      </c>
      <c r="M192" s="10">
        <v>0.3838604143947637</v>
      </c>
    </row>
    <row r="193" spans="1:13" x14ac:dyDescent="0.2">
      <c r="A193" s="27">
        <v>3</v>
      </c>
      <c r="B193">
        <f t="shared" ref="B193:B201" si="14">B192+1</f>
        <v>2007</v>
      </c>
      <c r="C193" t="s">
        <v>29</v>
      </c>
      <c r="D193">
        <v>0.73365302705401902</v>
      </c>
      <c r="E193">
        <v>2.2741581988443902</v>
      </c>
      <c r="F193">
        <v>11.2477912592766</v>
      </c>
      <c r="G193">
        <v>4.1021754445891396</v>
      </c>
      <c r="H193">
        <v>6.4401004843707597</v>
      </c>
      <c r="I193">
        <v>2.1305300189173901</v>
      </c>
      <c r="J193">
        <v>-0.494279349972154</v>
      </c>
      <c r="K193">
        <v>8.2560783627776413E-2</v>
      </c>
      <c r="L193">
        <v>-8.1162747849256593</v>
      </c>
      <c r="M193" s="10">
        <v>0.2634948778565791</v>
      </c>
    </row>
    <row r="194" spans="1:13" x14ac:dyDescent="0.2">
      <c r="A194" s="27">
        <v>3</v>
      </c>
      <c r="B194">
        <f t="shared" si="14"/>
        <v>2008</v>
      </c>
      <c r="C194" t="s">
        <v>29</v>
      </c>
      <c r="D194">
        <v>-0.71074082777663605</v>
      </c>
      <c r="E194">
        <v>2.3943016537158801</v>
      </c>
      <c r="F194">
        <v>13.425609612439599</v>
      </c>
      <c r="G194">
        <v>0.63623748425524795</v>
      </c>
      <c r="H194">
        <v>6.4401004843707597</v>
      </c>
      <c r="I194">
        <v>-0.72035445222528305</v>
      </c>
      <c r="J194">
        <v>-2.55763681466106</v>
      </c>
      <c r="K194">
        <v>-0.43803522378413251</v>
      </c>
      <c r="L194">
        <v>-9.9494026106555097E-2</v>
      </c>
      <c r="M194" s="10">
        <v>-6.2212520464644427E-2</v>
      </c>
    </row>
    <row r="195" spans="1:13" x14ac:dyDescent="0.2">
      <c r="A195" s="27">
        <v>3</v>
      </c>
      <c r="B195">
        <f t="shared" si="14"/>
        <v>2009</v>
      </c>
      <c r="C195" t="s">
        <v>29</v>
      </c>
      <c r="D195">
        <v>-2.4974958141174399</v>
      </c>
      <c r="E195">
        <v>1.6104801753337299</v>
      </c>
      <c r="F195">
        <v>13.7074449287313</v>
      </c>
      <c r="G195">
        <v>5.1493349843088503E-2</v>
      </c>
      <c r="H195">
        <v>11.920108908210199</v>
      </c>
      <c r="I195">
        <v>9.2263781487506594E-2</v>
      </c>
      <c r="J195">
        <v>-3.5688503012200701</v>
      </c>
      <c r="K195">
        <v>0.18573893041978207</v>
      </c>
      <c r="L195">
        <v>-6.2896665107643397</v>
      </c>
      <c r="M195" s="10">
        <v>0.47693075068583757</v>
      </c>
    </row>
    <row r="196" spans="1:13" x14ac:dyDescent="0.2">
      <c r="A196" s="27">
        <v>3</v>
      </c>
      <c r="B196">
        <f t="shared" si="14"/>
        <v>2010</v>
      </c>
      <c r="C196" t="s">
        <v>29</v>
      </c>
      <c r="D196">
        <v>-1.8397394471697499</v>
      </c>
      <c r="E196">
        <v>0.90655509065550799</v>
      </c>
      <c r="F196">
        <v>0.81900106019553198</v>
      </c>
      <c r="G196">
        <v>4.3039217779298797E-2</v>
      </c>
      <c r="H196">
        <v>13.295751978098</v>
      </c>
      <c r="I196">
        <v>2.78898808536059</v>
      </c>
      <c r="J196">
        <v>-3.1414721814407902</v>
      </c>
      <c r="K196">
        <v>-2.4975751697382642E-2</v>
      </c>
      <c r="L196">
        <v>-11.0625451762404</v>
      </c>
      <c r="M196" s="10">
        <v>0.18175166047506264</v>
      </c>
    </row>
    <row r="197" spans="1:13" x14ac:dyDescent="0.2">
      <c r="A197" s="27">
        <v>3</v>
      </c>
      <c r="B197">
        <f t="shared" si="14"/>
        <v>2011</v>
      </c>
      <c r="C197" t="s">
        <v>29</v>
      </c>
      <c r="D197">
        <v>-1.47424580677378</v>
      </c>
      <c r="E197">
        <v>2.0988244670252998</v>
      </c>
      <c r="F197">
        <v>-7.7756508422664696</v>
      </c>
      <c r="G197">
        <v>6.63521274097469E-2</v>
      </c>
      <c r="H197">
        <v>16.921011462438699</v>
      </c>
      <c r="I197">
        <v>2.4174438286150401</v>
      </c>
      <c r="J197">
        <v>-1.85792031590138</v>
      </c>
      <c r="K197">
        <v>0.13404625714996188</v>
      </c>
      <c r="L197">
        <v>-10.527375030117399</v>
      </c>
      <c r="M197" s="10">
        <v>0.24053346034770784</v>
      </c>
    </row>
    <row r="198" spans="1:13" x14ac:dyDescent="0.2">
      <c r="A198" s="27">
        <v>3</v>
      </c>
      <c r="B198">
        <f t="shared" si="14"/>
        <v>2012</v>
      </c>
      <c r="C198" t="s">
        <v>29</v>
      </c>
      <c r="D198">
        <v>-1.2064374467585099</v>
      </c>
      <c r="E198">
        <v>2.0468220761107698</v>
      </c>
      <c r="F198">
        <v>-7.2561550241489101</v>
      </c>
      <c r="G198">
        <v>5.6745159155440199E-2</v>
      </c>
      <c r="H198">
        <v>16.526143987484499</v>
      </c>
      <c r="I198">
        <v>1.7973183764229499</v>
      </c>
      <c r="J198">
        <v>-1.6713410621171401</v>
      </c>
      <c r="K198">
        <v>0.36732456140350989</v>
      </c>
      <c r="L198">
        <v>-9.4371926244029503</v>
      </c>
      <c r="M198" s="10">
        <v>4.369360721827209E-2</v>
      </c>
    </row>
    <row r="199" spans="1:13" x14ac:dyDescent="0.2">
      <c r="A199" s="27">
        <v>3</v>
      </c>
      <c r="B199">
        <f t="shared" si="14"/>
        <v>2013</v>
      </c>
      <c r="C199" t="s">
        <v>29</v>
      </c>
      <c r="D199">
        <v>-0.54782187233792501</v>
      </c>
      <c r="E199">
        <v>1.7925881649730999</v>
      </c>
      <c r="F199">
        <v>-4.8353751914242</v>
      </c>
      <c r="G199">
        <v>5.6745159155440199E-2</v>
      </c>
      <c r="H199">
        <v>20.1310960016847</v>
      </c>
      <c r="I199">
        <v>1.9091633201686</v>
      </c>
      <c r="J199">
        <v>-2.4734723839416799</v>
      </c>
      <c r="K199">
        <v>0.28644747393744607</v>
      </c>
      <c r="L199">
        <v>-7.5601286902787699</v>
      </c>
      <c r="M199" s="10">
        <v>-0.25464444689695864</v>
      </c>
    </row>
    <row r="200" spans="1:13" x14ac:dyDescent="0.2">
      <c r="A200" s="27">
        <v>3</v>
      </c>
      <c r="B200">
        <f t="shared" si="14"/>
        <v>2014</v>
      </c>
      <c r="C200" t="s">
        <v>29</v>
      </c>
      <c r="D200">
        <v>3.7100138060688702E-2</v>
      </c>
      <c r="E200">
        <v>1.6620840804941199</v>
      </c>
      <c r="F200">
        <v>-3.1187419012839901</v>
      </c>
      <c r="G200">
        <v>7.7752396404861202E-2</v>
      </c>
      <c r="H200">
        <v>23.010996119016799</v>
      </c>
      <c r="I200">
        <v>3.16899538681092</v>
      </c>
      <c r="J200">
        <v>-2.16179820786716</v>
      </c>
      <c r="K200">
        <v>7.9665877072680136E-2</v>
      </c>
      <c r="L200">
        <v>3.2498547273835201</v>
      </c>
      <c r="M200" s="10">
        <v>-3.8497606238584003E-2</v>
      </c>
    </row>
    <row r="201" spans="1:13" ht="16" thickBot="1" x14ac:dyDescent="0.25">
      <c r="A201" s="28">
        <v>3</v>
      </c>
      <c r="B201" s="8">
        <f t="shared" si="14"/>
        <v>2015</v>
      </c>
      <c r="C201" s="8" t="s">
        <v>29</v>
      </c>
      <c r="D201" s="8">
        <v>-0.13560056399259601</v>
      </c>
      <c r="E201" s="8">
        <v>2.0466228332337102</v>
      </c>
      <c r="F201" s="8">
        <v>-1.6486040758628699</v>
      </c>
      <c r="G201" s="8">
        <v>0.31613330202173401</v>
      </c>
      <c r="H201" s="8">
        <v>22.103553055146001</v>
      </c>
      <c r="I201" s="8">
        <v>1.75417344263383</v>
      </c>
      <c r="J201" s="8">
        <v>-2.0834809902293299</v>
      </c>
      <c r="K201" s="8">
        <v>2.8868360277140903E-2</v>
      </c>
      <c r="L201" s="8">
        <v>14.645463951131701</v>
      </c>
      <c r="M201" s="11">
        <v>-9.8044248241878074E-2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802A-7040-FD45-A3EA-6933630EB045}">
  <dimension ref="A1:I25"/>
  <sheetViews>
    <sheetView workbookViewId="0">
      <selection activeCell="B17" sqref="B17:B25"/>
    </sheetView>
  </sheetViews>
  <sheetFormatPr baseColWidth="10" defaultRowHeight="15" x14ac:dyDescent="0.2"/>
  <sheetData>
    <row r="1" spans="1:9" x14ac:dyDescent="0.2">
      <c r="A1" t="s">
        <v>45</v>
      </c>
    </row>
    <row r="2" spans="1:9" ht="16" thickBot="1" x14ac:dyDescent="0.25"/>
    <row r="3" spans="1:9" x14ac:dyDescent="0.2">
      <c r="A3" s="32" t="s">
        <v>46</v>
      </c>
      <c r="B3" s="32"/>
    </row>
    <row r="4" spans="1:9" x14ac:dyDescent="0.2">
      <c r="A4" t="s">
        <v>47</v>
      </c>
      <c r="B4">
        <v>0.5315135509803387</v>
      </c>
    </row>
    <row r="5" spans="1:9" x14ac:dyDescent="0.2">
      <c r="A5" t="s">
        <v>48</v>
      </c>
      <c r="B5">
        <v>0.28250665487572907</v>
      </c>
    </row>
    <row r="6" spans="1:9" x14ac:dyDescent="0.2">
      <c r="A6" t="s">
        <v>49</v>
      </c>
      <c r="B6">
        <v>0.25245457759303713</v>
      </c>
    </row>
    <row r="7" spans="1:9" x14ac:dyDescent="0.2">
      <c r="A7" t="s">
        <v>50</v>
      </c>
      <c r="B7">
        <v>1.0336829758725374</v>
      </c>
    </row>
    <row r="8" spans="1:9" ht="16" thickBot="1" x14ac:dyDescent="0.25">
      <c r="A8" s="8" t="s">
        <v>51</v>
      </c>
      <c r="B8" s="8">
        <v>200</v>
      </c>
    </row>
    <row r="10" spans="1:9" ht="16" thickBot="1" x14ac:dyDescent="0.25">
      <c r="A10" t="s">
        <v>52</v>
      </c>
    </row>
    <row r="11" spans="1:9" x14ac:dyDescent="0.2">
      <c r="A11" s="31"/>
      <c r="B11" s="31" t="s">
        <v>57</v>
      </c>
      <c r="C11" s="31" t="s">
        <v>58</v>
      </c>
      <c r="D11" s="31" t="s">
        <v>59</v>
      </c>
      <c r="E11" s="31" t="s">
        <v>60</v>
      </c>
      <c r="F11" s="31" t="s">
        <v>61</v>
      </c>
    </row>
    <row r="12" spans="1:9" x14ac:dyDescent="0.2">
      <c r="A12" t="s">
        <v>53</v>
      </c>
      <c r="B12">
        <v>8</v>
      </c>
      <c r="C12">
        <v>80.356109196835547</v>
      </c>
      <c r="D12">
        <v>10.044513649604443</v>
      </c>
      <c r="E12">
        <v>9.4005699578855513</v>
      </c>
      <c r="F12">
        <v>6.415180647905081E-11</v>
      </c>
    </row>
    <row r="13" spans="1:9" x14ac:dyDescent="0.2">
      <c r="A13" t="s">
        <v>54</v>
      </c>
      <c r="B13">
        <v>191</v>
      </c>
      <c r="C13">
        <v>204.08359447026263</v>
      </c>
      <c r="D13">
        <v>1.0685004946087049</v>
      </c>
    </row>
    <row r="14" spans="1:9" ht="16" thickBot="1" x14ac:dyDescent="0.25">
      <c r="A14" s="8" t="s">
        <v>55</v>
      </c>
      <c r="B14" s="8">
        <v>199</v>
      </c>
      <c r="C14" s="8">
        <v>284.43970366709817</v>
      </c>
      <c r="D14" s="8"/>
      <c r="E14" s="8"/>
      <c r="F14" s="8"/>
    </row>
    <row r="15" spans="1:9" ht="16" thickBot="1" x14ac:dyDescent="0.25"/>
    <row r="16" spans="1:9" x14ac:dyDescent="0.2">
      <c r="A16" s="31"/>
      <c r="B16" s="31" t="s">
        <v>62</v>
      </c>
      <c r="C16" s="31" t="s">
        <v>50</v>
      </c>
      <c r="D16" s="31" t="s">
        <v>63</v>
      </c>
      <c r="E16" s="31" t="s">
        <v>64</v>
      </c>
      <c r="F16" s="31" t="s">
        <v>65</v>
      </c>
      <c r="G16" s="31" t="s">
        <v>66</v>
      </c>
      <c r="H16" s="31" t="s">
        <v>67</v>
      </c>
      <c r="I16" s="31" t="s">
        <v>68</v>
      </c>
    </row>
    <row r="17" spans="1:9" x14ac:dyDescent="0.2">
      <c r="A17" t="s">
        <v>56</v>
      </c>
      <c r="B17">
        <v>-0.79605714847122222</v>
      </c>
      <c r="C17">
        <v>0.21183110051643406</v>
      </c>
      <c r="D17">
        <v>-3.7579805162248276</v>
      </c>
      <c r="E17">
        <v>2.2747885236712212E-4</v>
      </c>
      <c r="F17">
        <v>-1.2138859424904462</v>
      </c>
      <c r="G17">
        <v>-0.37822835445199815</v>
      </c>
      <c r="H17">
        <v>-1.2138859424904462</v>
      </c>
      <c r="I17">
        <v>-0.37822835445199815</v>
      </c>
    </row>
    <row r="18" spans="1:9" x14ac:dyDescent="0.2">
      <c r="A18" t="s">
        <v>30</v>
      </c>
      <c r="B18">
        <v>7.216567326857258E-2</v>
      </c>
      <c r="C18">
        <v>1.506426240583688E-2</v>
      </c>
      <c r="D18">
        <v>4.7905215220235995</v>
      </c>
      <c r="E18">
        <v>3.3312528359914935E-6</v>
      </c>
      <c r="F18">
        <v>4.245198826918014E-2</v>
      </c>
      <c r="G18">
        <v>0.10187935826796501</v>
      </c>
      <c r="H18">
        <v>4.245198826918014E-2</v>
      </c>
      <c r="I18">
        <v>0.10187935826796501</v>
      </c>
    </row>
    <row r="19" spans="1:9" x14ac:dyDescent="0.2">
      <c r="A19" t="s">
        <v>34</v>
      </c>
      <c r="B19">
        <v>1.4546767446483045E-2</v>
      </c>
      <c r="C19">
        <v>7.7435228816031655E-3</v>
      </c>
      <c r="D19">
        <v>1.8785722814925527</v>
      </c>
      <c r="E19">
        <v>6.1826442516359069E-2</v>
      </c>
      <c r="F19">
        <v>-7.2703710437187999E-4</v>
      </c>
      <c r="G19">
        <v>2.982057199733797E-2</v>
      </c>
      <c r="H19">
        <v>-7.2703710437187999E-4</v>
      </c>
      <c r="I19">
        <v>2.982057199733797E-2</v>
      </c>
    </row>
    <row r="20" spans="1:9" x14ac:dyDescent="0.2">
      <c r="A20" t="s">
        <v>25</v>
      </c>
      <c r="B20">
        <v>2.8699793578524844E-2</v>
      </c>
      <c r="C20">
        <v>2.1519019522150944E-2</v>
      </c>
      <c r="D20">
        <v>1.3336942953642592</v>
      </c>
      <c r="E20">
        <v>0.18389230591672823</v>
      </c>
      <c r="F20">
        <v>-1.3745654485976515E-2</v>
      </c>
      <c r="G20">
        <v>7.11452416430262E-2</v>
      </c>
      <c r="H20">
        <v>-1.3745654485976515E-2</v>
      </c>
      <c r="I20">
        <v>7.11452416430262E-2</v>
      </c>
    </row>
    <row r="21" spans="1:9" x14ac:dyDescent="0.2">
      <c r="A21" t="s">
        <v>33</v>
      </c>
      <c r="B21">
        <v>1.0038070130995082E-2</v>
      </c>
      <c r="C21">
        <v>7.6316739232730338E-3</v>
      </c>
      <c r="D21">
        <v>1.3153169582342434</v>
      </c>
      <c r="E21">
        <v>0.18998020748207925</v>
      </c>
      <c r="F21">
        <v>-5.0151166009586015E-3</v>
      </c>
      <c r="G21">
        <v>2.5091256862948767E-2</v>
      </c>
      <c r="H21">
        <v>-5.0151166009586015E-3</v>
      </c>
      <c r="I21">
        <v>2.5091256862948767E-2</v>
      </c>
    </row>
    <row r="22" spans="1:9" x14ac:dyDescent="0.2">
      <c r="A22" t="s">
        <v>36</v>
      </c>
      <c r="B22">
        <v>0.11540018577509011</v>
      </c>
      <c r="C22">
        <v>2.3760175557826068E-2</v>
      </c>
      <c r="D22">
        <v>4.8568742892591921</v>
      </c>
      <c r="E22">
        <v>2.4762825376325117E-6</v>
      </c>
      <c r="F22">
        <v>6.8534142617082197E-2</v>
      </c>
      <c r="G22">
        <v>0.16226622893309803</v>
      </c>
      <c r="H22">
        <v>6.8534142617082197E-2</v>
      </c>
      <c r="I22">
        <v>0.16226622893309803</v>
      </c>
    </row>
    <row r="23" spans="1:9" x14ac:dyDescent="0.2">
      <c r="A23" t="s">
        <v>26</v>
      </c>
      <c r="B23">
        <v>5.0854522702438988E-2</v>
      </c>
      <c r="C23">
        <v>3.5287046861003139E-2</v>
      </c>
      <c r="D23">
        <v>1.4411668650753535</v>
      </c>
      <c r="E23">
        <v>0.1511749685541838</v>
      </c>
      <c r="F23">
        <v>-1.8747835962024163E-2</v>
      </c>
      <c r="G23">
        <v>0.12045688136690214</v>
      </c>
      <c r="H23">
        <v>-1.8747835962024163E-2</v>
      </c>
      <c r="I23">
        <v>0.12045688136690214</v>
      </c>
    </row>
    <row r="24" spans="1:9" x14ac:dyDescent="0.2">
      <c r="A24" t="s">
        <v>69</v>
      </c>
      <c r="B24">
        <v>0.36665574733480505</v>
      </c>
      <c r="C24">
        <v>0.32669753193614526</v>
      </c>
      <c r="D24">
        <v>1.1223095110693087</v>
      </c>
      <c r="E24">
        <v>0.26313972383546747</v>
      </c>
      <c r="F24">
        <v>-0.27774271656000177</v>
      </c>
      <c r="G24">
        <v>1.0110542112296119</v>
      </c>
      <c r="H24">
        <v>-0.27774271656000177</v>
      </c>
      <c r="I24">
        <v>1.0110542112296119</v>
      </c>
    </row>
    <row r="25" spans="1:9" ht="16" thickBot="1" x14ac:dyDescent="0.25">
      <c r="A25" s="8" t="s">
        <v>35</v>
      </c>
      <c r="B25" s="8">
        <v>1.0932311313536841E-2</v>
      </c>
      <c r="C25" s="8">
        <v>7.3839833126616381E-3</v>
      </c>
      <c r="D25" s="8">
        <v>1.4805438813479888</v>
      </c>
      <c r="E25" s="8">
        <v>0.14037581437466573</v>
      </c>
      <c r="F25" s="8">
        <v>-3.6323151037636332E-3</v>
      </c>
      <c r="G25" s="8">
        <v>2.5496937730837315E-2</v>
      </c>
      <c r="H25" s="8">
        <v>-3.6323151037636332E-3</v>
      </c>
      <c r="I25" s="8">
        <v>2.5496937730837315E-2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07CF-B029-A647-8D4C-4A8B4FB9C5B5}">
  <dimension ref="A1:I26"/>
  <sheetViews>
    <sheetView workbookViewId="0">
      <selection activeCell="B17" sqref="B17:B25"/>
    </sheetView>
  </sheetViews>
  <sheetFormatPr baseColWidth="10" defaultRowHeight="15" x14ac:dyDescent="0.2"/>
  <sheetData>
    <row r="1" spans="1:9" x14ac:dyDescent="0.2">
      <c r="A1" t="s">
        <v>45</v>
      </c>
    </row>
    <row r="2" spans="1:9" ht="16" thickBot="1" x14ac:dyDescent="0.25"/>
    <row r="3" spans="1:9" x14ac:dyDescent="0.2">
      <c r="A3" s="32" t="s">
        <v>46</v>
      </c>
      <c r="B3" s="32"/>
    </row>
    <row r="4" spans="1:9" x14ac:dyDescent="0.2">
      <c r="A4" t="s">
        <v>47</v>
      </c>
      <c r="B4">
        <v>0.54642933816675199</v>
      </c>
    </row>
    <row r="5" spans="1:9" x14ac:dyDescent="0.2">
      <c r="A5" t="s">
        <v>48</v>
      </c>
      <c r="B5">
        <v>0.29858502160935457</v>
      </c>
    </row>
    <row r="6" spans="1:9" x14ac:dyDescent="0.2">
      <c r="A6" t="s">
        <v>49</v>
      </c>
      <c r="B6">
        <v>0.26536010158032403</v>
      </c>
    </row>
    <row r="7" spans="1:9" x14ac:dyDescent="0.2">
      <c r="A7" t="s">
        <v>50</v>
      </c>
      <c r="B7">
        <v>1.0247214476475759</v>
      </c>
    </row>
    <row r="8" spans="1:9" ht="16" thickBot="1" x14ac:dyDescent="0.25">
      <c r="A8" s="8" t="s">
        <v>51</v>
      </c>
      <c r="B8" s="8">
        <v>200</v>
      </c>
    </row>
    <row r="10" spans="1:9" ht="16" thickBot="1" x14ac:dyDescent="0.25">
      <c r="A10" t="s">
        <v>52</v>
      </c>
    </row>
    <row r="11" spans="1:9" x14ac:dyDescent="0.2">
      <c r="A11" s="31"/>
      <c r="B11" s="31" t="s">
        <v>57</v>
      </c>
      <c r="C11" s="31" t="s">
        <v>58</v>
      </c>
      <c r="D11" s="31" t="s">
        <v>59</v>
      </c>
      <c r="E11" s="31" t="s">
        <v>60</v>
      </c>
      <c r="F11" s="31" t="s">
        <v>61</v>
      </c>
    </row>
    <row r="12" spans="1:9" x14ac:dyDescent="0.2">
      <c r="A12" t="s">
        <v>53</v>
      </c>
      <c r="B12">
        <v>9</v>
      </c>
      <c r="C12">
        <v>84.929435065998916</v>
      </c>
      <c r="D12">
        <v>9.4366038962221026</v>
      </c>
      <c r="E12">
        <v>8.986779241258164</v>
      </c>
      <c r="F12">
        <v>2.8846488627129874E-11</v>
      </c>
    </row>
    <row r="13" spans="1:9" x14ac:dyDescent="0.2">
      <c r="A13" t="s">
        <v>54</v>
      </c>
      <c r="B13">
        <v>190</v>
      </c>
      <c r="C13">
        <v>199.51026860109926</v>
      </c>
      <c r="D13">
        <v>1.0500540452689435</v>
      </c>
    </row>
    <row r="14" spans="1:9" ht="16" thickBot="1" x14ac:dyDescent="0.25">
      <c r="A14" s="8" t="s">
        <v>55</v>
      </c>
      <c r="B14" s="8">
        <v>199</v>
      </c>
      <c r="C14" s="8">
        <v>284.43970366709817</v>
      </c>
      <c r="D14" s="8"/>
      <c r="E14" s="8"/>
      <c r="F14" s="8"/>
    </row>
    <row r="15" spans="1:9" ht="16" thickBot="1" x14ac:dyDescent="0.25"/>
    <row r="16" spans="1:9" x14ac:dyDescent="0.2">
      <c r="A16" s="31"/>
      <c r="B16" s="31" t="s">
        <v>62</v>
      </c>
      <c r="C16" s="31" t="s">
        <v>50</v>
      </c>
      <c r="D16" s="31" t="s">
        <v>63</v>
      </c>
      <c r="E16" s="31" t="s">
        <v>64</v>
      </c>
      <c r="F16" s="31" t="s">
        <v>65</v>
      </c>
      <c r="G16" s="31" t="s">
        <v>66</v>
      </c>
      <c r="H16" s="31" t="s">
        <v>67</v>
      </c>
      <c r="I16" s="31" t="s">
        <v>68</v>
      </c>
    </row>
    <row r="17" spans="1:9" x14ac:dyDescent="0.2">
      <c r="A17" t="s">
        <v>56</v>
      </c>
      <c r="B17">
        <v>-0.75604601597472954</v>
      </c>
      <c r="C17">
        <v>0.21086800313165685</v>
      </c>
      <c r="D17">
        <v>-3.5853994192883172</v>
      </c>
      <c r="E17">
        <v>4.2787161775101573E-4</v>
      </c>
      <c r="F17">
        <v>-1.1719890948342637</v>
      </c>
      <c r="G17">
        <v>-0.34010293711519535</v>
      </c>
      <c r="H17">
        <v>-1.1719890948342637</v>
      </c>
      <c r="I17">
        <v>-0.34010293711519535</v>
      </c>
    </row>
    <row r="18" spans="1:9" x14ac:dyDescent="0.2">
      <c r="A18" t="s">
        <v>30</v>
      </c>
      <c r="B18">
        <v>7.844447151484972E-2</v>
      </c>
      <c r="C18">
        <v>1.5233713545392958E-2</v>
      </c>
      <c r="D18">
        <v>5.1493991455926533</v>
      </c>
      <c r="E18">
        <v>6.5017985619327632E-7</v>
      </c>
      <c r="F18">
        <v>4.8395542230026976E-2</v>
      </c>
      <c r="G18">
        <v>0.10849340079967246</v>
      </c>
      <c r="H18">
        <v>4.8395542230026976E-2</v>
      </c>
      <c r="I18">
        <v>0.10849340079967246</v>
      </c>
    </row>
    <row r="19" spans="1:9" x14ac:dyDescent="0.2">
      <c r="A19" t="s">
        <v>34</v>
      </c>
      <c r="B19">
        <v>1.8437841960079613E-2</v>
      </c>
      <c r="C19">
        <v>7.8995746069504148E-3</v>
      </c>
      <c r="D19">
        <v>2.3340297265952952</v>
      </c>
      <c r="E19">
        <v>2.0639539827729668E-2</v>
      </c>
      <c r="F19">
        <v>2.8557084220479766E-3</v>
      </c>
      <c r="G19">
        <v>3.4019975498111248E-2</v>
      </c>
      <c r="H19">
        <v>2.8557084220479766E-3</v>
      </c>
      <c r="I19">
        <v>3.4019975498111248E-2</v>
      </c>
    </row>
    <row r="20" spans="1:9" x14ac:dyDescent="0.2">
      <c r="A20" t="s">
        <v>25</v>
      </c>
      <c r="B20">
        <v>2.5806704730630591E-2</v>
      </c>
      <c r="C20">
        <v>2.1377456141339572E-2</v>
      </c>
      <c r="D20">
        <v>1.207192500361433</v>
      </c>
      <c r="E20">
        <v>0.22885872595108661</v>
      </c>
      <c r="F20">
        <v>-1.6360929967658751E-2</v>
      </c>
      <c r="G20">
        <v>6.7974339428919936E-2</v>
      </c>
      <c r="H20">
        <v>-1.6360929967658751E-2</v>
      </c>
      <c r="I20">
        <v>6.7974339428919936E-2</v>
      </c>
    </row>
    <row r="21" spans="1:9" x14ac:dyDescent="0.2">
      <c r="A21" t="s">
        <v>33</v>
      </c>
      <c r="B21">
        <v>1.0017537196056013E-2</v>
      </c>
      <c r="C21">
        <v>7.5655174228435405E-3</v>
      </c>
      <c r="D21">
        <v>1.3241047024501951</v>
      </c>
      <c r="E21">
        <v>0.18705897216657491</v>
      </c>
      <c r="F21">
        <v>-4.9056591319248119E-3</v>
      </c>
      <c r="G21">
        <v>2.4940733524036838E-2</v>
      </c>
      <c r="H21">
        <v>-4.9056591319248119E-3</v>
      </c>
      <c r="I21">
        <v>2.4940733524036838E-2</v>
      </c>
    </row>
    <row r="22" spans="1:9" x14ac:dyDescent="0.2">
      <c r="A22" t="s">
        <v>36</v>
      </c>
      <c r="B22">
        <v>0.11754467194191362</v>
      </c>
      <c r="C22">
        <v>2.3576590187261843E-2</v>
      </c>
      <c r="D22">
        <v>4.9856519118452356</v>
      </c>
      <c r="E22">
        <v>1.3865539873100772E-6</v>
      </c>
      <c r="F22">
        <v>7.1039183362044026E-2</v>
      </c>
      <c r="G22">
        <v>0.1640501605217832</v>
      </c>
      <c r="H22">
        <v>7.1039183362044026E-2</v>
      </c>
      <c r="I22">
        <v>0.1640501605217832</v>
      </c>
    </row>
    <row r="23" spans="1:9" x14ac:dyDescent="0.2">
      <c r="A23" t="s">
        <v>26</v>
      </c>
      <c r="B23">
        <v>4.9657046101172726E-2</v>
      </c>
      <c r="C23">
        <v>3.4985831002276445E-2</v>
      </c>
      <c r="D23">
        <v>1.4193473380106838</v>
      </c>
      <c r="E23">
        <v>0.15743627837367322</v>
      </c>
      <c r="F23">
        <v>-1.9353491521552794E-2</v>
      </c>
      <c r="G23">
        <v>0.11866758372389825</v>
      </c>
      <c r="H23">
        <v>-1.9353491521552794E-2</v>
      </c>
      <c r="I23">
        <v>0.11866758372389825</v>
      </c>
    </row>
    <row r="24" spans="1:9" x14ac:dyDescent="0.2">
      <c r="A24" t="s">
        <v>69</v>
      </c>
      <c r="B24">
        <v>0.32033573500087598</v>
      </c>
      <c r="C24">
        <v>0.32462487327109218</v>
      </c>
      <c r="D24">
        <v>0.9867874010176837</v>
      </c>
      <c r="E24">
        <v>0.32500182661858823</v>
      </c>
      <c r="F24">
        <v>-0.31999597610495806</v>
      </c>
      <c r="G24">
        <v>0.96066744610670995</v>
      </c>
      <c r="H24">
        <v>-0.31999597610495806</v>
      </c>
      <c r="I24">
        <v>0.96066744610670995</v>
      </c>
    </row>
    <row r="25" spans="1:9" x14ac:dyDescent="0.2">
      <c r="A25" t="s">
        <v>35</v>
      </c>
      <c r="B25">
        <v>7.6331480134039491E-3</v>
      </c>
      <c r="C25">
        <v>7.488728082337557E-3</v>
      </c>
      <c r="D25">
        <v>1.0192849746283368</v>
      </c>
      <c r="E25">
        <v>0.30936381199047036</v>
      </c>
      <c r="F25">
        <v>-7.1385791763515288E-3</v>
      </c>
      <c r="G25">
        <v>2.2404875203159428E-2</v>
      </c>
      <c r="H25">
        <v>-7.1385791763515288E-3</v>
      </c>
      <c r="I25">
        <v>2.2404875203159428E-2</v>
      </c>
    </row>
    <row r="26" spans="1:9" ht="16" thickBot="1" x14ac:dyDescent="0.25">
      <c r="A26" s="8" t="s">
        <v>40</v>
      </c>
      <c r="B26" s="8">
        <v>-0.99706441742315566</v>
      </c>
      <c r="C26" s="8">
        <v>0.47776350260749972</v>
      </c>
      <c r="D26" s="8">
        <v>-2.0869413673950743</v>
      </c>
      <c r="E26" s="8">
        <v>3.8227730549045998E-2</v>
      </c>
      <c r="F26" s="8">
        <v>-1.9394663906481064</v>
      </c>
      <c r="G26" s="8">
        <v>-5.4662444198204783E-2</v>
      </c>
      <c r="H26" s="8">
        <v>-1.9394663906481064</v>
      </c>
      <c r="I26" s="8">
        <v>-5.4662444198204783E-2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Database</vt:lpstr>
      <vt:lpstr>Forecast</vt:lpstr>
      <vt:lpstr>Database_filler</vt:lpstr>
      <vt:lpstr>Extra</vt:lpstr>
      <vt:lpstr>Sheet4</vt:lpstr>
      <vt:lpstr>Database_filler (2)</vt:lpstr>
      <vt:lpstr>Sheet20</vt:lpstr>
      <vt:lpstr>Sheet21</vt:lpstr>
      <vt:lpstr>Sheet22</vt:lpstr>
      <vt:lpstr>Sheet23</vt:lpstr>
      <vt:lpstr>Sheet24</vt:lpstr>
      <vt:lpstr>Database_filler (3)</vt:lpstr>
      <vt:lpstr>Ng_All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ruben shiffman</cp:lastModifiedBy>
  <dcterms:created xsi:type="dcterms:W3CDTF">2025-11-01T21:58:56Z</dcterms:created>
  <dcterms:modified xsi:type="dcterms:W3CDTF">2025-11-12T05:03:18Z</dcterms:modified>
</cp:coreProperties>
</file>